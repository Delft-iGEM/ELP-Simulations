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angements" sheetId="1" state="visible" r:id="rId1"/>
    <sheet name="By domain count" sheetId="2" state="visible" r:id="rId2"/>
    <sheet name="Notes" sheetId="3" state="visible" r:id="rId3"/>
  </sheets>
  <definedNames>
    <definedName name="_xlnm._FilterDatabase" localSheetId="0" hidden="1">'Arrangements'!$A$1:$V$21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12" customWidth="1" min="4" max="4"/>
    <col width="9" customWidth="1" min="5" max="5"/>
    <col width="6" customWidth="1" min="6" max="6"/>
    <col width="8" customWidth="1" min="7" max="7"/>
    <col width="9" customWidth="1" min="8" max="8"/>
    <col width="8" customWidth="1" min="9" max="9"/>
    <col width="10" customWidth="1" min="10" max="10"/>
    <col width="11" customWidth="1" min="11" max="11"/>
    <col width="14" customWidth="1" min="12" max="12"/>
    <col width="10" customWidth="1" min="13" max="13"/>
    <col width="10" customWidth="1" min="14" max="14"/>
    <col width="11" customWidth="1" min="15" max="15"/>
    <col width="12" customWidth="1" min="16" max="16"/>
    <col width="12" customWidth="1" min="17" max="17"/>
    <col width="13" customWidth="1" min="18" max="18"/>
    <col width="13" customWidth="1" min="19" max="19"/>
    <col width="13" customWidth="1" min="20" max="20"/>
    <col width="12" customWidth="1" min="21" max="21"/>
    <col width="12" customWidth="1" min="22" max="22"/>
  </cols>
  <sheetData>
    <row r="1">
      <c r="A1" s="1" t="inlineStr">
        <is>
          <t>Run</t>
        </is>
      </c>
      <c r="B1" s="1" t="inlineStr">
        <is>
          <t>K at pentapeptide</t>
        </is>
      </c>
      <c r="C1" s="1" t="inlineStr">
        <is>
          <t>Domains</t>
        </is>
      </c>
      <c r="D1" s="1" t="inlineStr">
        <is>
          <t>Domain sizes</t>
        </is>
      </c>
      <c r="E1" s="1" t="inlineStr">
        <is>
          <t>Largest domain</t>
        </is>
      </c>
      <c r="F1" s="1" t="inlineStr">
        <is>
          <t>Span</t>
        </is>
      </c>
      <c r="G1" s="1" t="inlineStr">
        <is>
          <t>Frames</t>
        </is>
      </c>
      <c r="H1" s="1" t="inlineStr">
        <is>
          <t>First frame</t>
        </is>
      </c>
      <c r="I1" s="1" t="inlineStr">
        <is>
          <t>Cutoff (A)</t>
        </is>
      </c>
      <c r="J1" s="1" t="inlineStr">
        <is>
          <t>Pairs intra</t>
        </is>
      </c>
      <c r="K1" s="1" t="inlineStr">
        <is>
          <t>Pairs inter</t>
        </is>
      </c>
      <c r="L1" s="1" t="inlineStr">
        <is>
          <t>Pairs dropped (both pinned)</t>
        </is>
      </c>
      <c r="M1" s="1" t="inlineStr">
        <is>
          <t>Hits intra</t>
        </is>
      </c>
      <c r="N1" s="1" t="inlineStr">
        <is>
          <t>Hits inter</t>
        </is>
      </c>
      <c r="O1" s="1" t="inlineStr">
        <is>
          <t>Inter share</t>
        </is>
      </c>
      <c r="P1" s="1" t="inlineStr">
        <is>
          <t>P(pair) intra</t>
        </is>
      </c>
      <c r="Q1" s="1" t="inlineStr">
        <is>
          <t>P(pair) inter</t>
        </is>
      </c>
      <c r="R1" s="1" t="inlineStr">
        <is>
          <t>P intra / P inter</t>
        </is>
      </c>
      <c r="S1" s="1" t="inlineStr">
        <is>
          <t>Ever in contact intra</t>
        </is>
      </c>
      <c r="T1" s="1" t="inlineStr">
        <is>
          <t>Ever in contact inter</t>
        </is>
      </c>
      <c r="U1" s="1" t="inlineStr">
        <is>
          <t>Closest intra (A)</t>
        </is>
      </c>
      <c r="V1" s="1" t="inlineStr">
        <is>
          <t>Closest inter (A)</t>
        </is>
      </c>
    </row>
    <row r="2">
      <c r="A2" t="inlineStr">
        <is>
          <t>lysarr02-blk4-mid</t>
        </is>
      </c>
      <c r="B2" t="inlineStr">
        <is>
          <t>27+28+29+30</t>
        </is>
      </c>
      <c r="C2" t="n">
        <v>1</v>
      </c>
      <c r="D2" t="inlineStr">
        <is>
          <t>4</t>
        </is>
      </c>
      <c r="E2" t="n">
        <v>4</v>
      </c>
      <c r="F2" t="n">
        <v>3</v>
      </c>
      <c r="G2" t="n">
        <v>4286</v>
      </c>
      <c r="H2" t="n">
        <v>1428</v>
      </c>
      <c r="I2" t="n">
        <v>12</v>
      </c>
      <c r="J2" t="n">
        <v>92</v>
      </c>
      <c r="K2" t="n">
        <v>1753</v>
      </c>
      <c r="L2" t="n">
        <v>171</v>
      </c>
      <c r="M2" t="n">
        <v>71022</v>
      </c>
      <c r="N2" t="n">
        <v>456</v>
      </c>
      <c r="O2" s="2" t="n">
        <v>0.0064</v>
      </c>
      <c r="P2" s="3" t="n">
        <v>0.18012</v>
      </c>
      <c r="Q2" s="3" t="n">
        <v>6e-05</v>
      </c>
      <c r="R2" s="4" t="n">
        <v>3002</v>
      </c>
      <c r="S2" t="n">
        <v>92</v>
      </c>
      <c r="T2" t="n">
        <v>109</v>
      </c>
      <c r="U2" t="n">
        <v>5.61</v>
      </c>
      <c r="V2" t="n">
        <v>5.83</v>
      </c>
    </row>
    <row r="3">
      <c r="A3" t="inlineStr">
        <is>
          <t>lysarr03-blk4-cterm</t>
        </is>
      </c>
      <c r="B3" t="inlineStr">
        <is>
          <t>53+54+55+56</t>
        </is>
      </c>
      <c r="C3" t="n">
        <v>1</v>
      </c>
      <c r="D3" t="inlineStr">
        <is>
          <t>4</t>
        </is>
      </c>
      <c r="E3" t="n">
        <v>4</v>
      </c>
      <c r="F3" t="n">
        <v>3</v>
      </c>
      <c r="G3" t="n">
        <v>4286</v>
      </c>
      <c r="H3" t="n">
        <v>1428</v>
      </c>
      <c r="I3" t="n">
        <v>12</v>
      </c>
      <c r="J3" t="n">
        <v>93</v>
      </c>
      <c r="K3" t="n">
        <v>1752</v>
      </c>
      <c r="L3" t="n">
        <v>171</v>
      </c>
      <c r="M3" t="n">
        <v>78962</v>
      </c>
      <c r="N3" t="n">
        <v>761</v>
      </c>
      <c r="O3" s="2" t="n">
        <v>0.0095</v>
      </c>
      <c r="P3" s="3" t="n">
        <v>0.1981</v>
      </c>
      <c r="Q3" s="3" t="n">
        <v>0.0001</v>
      </c>
      <c r="R3" s="4" t="n">
        <v>1981</v>
      </c>
      <c r="S3" t="n">
        <v>93</v>
      </c>
      <c r="T3" t="n">
        <v>129</v>
      </c>
      <c r="U3" t="n">
        <v>5.63</v>
      </c>
      <c r="V3" t="n">
        <v>6.07</v>
      </c>
    </row>
    <row r="4">
      <c r="A4" t="inlineStr">
        <is>
          <t>lysarr09-blk13-nc</t>
        </is>
      </c>
      <c r="B4" t="inlineStr">
        <is>
          <t>1+54+55+56</t>
        </is>
      </c>
      <c r="C4" t="n">
        <v>2</v>
      </c>
      <c r="D4" t="inlineStr">
        <is>
          <t>1+3</t>
        </is>
      </c>
      <c r="E4" t="n">
        <v>3</v>
      </c>
      <c r="F4" t="n">
        <v>55</v>
      </c>
      <c r="G4" t="n">
        <v>4286</v>
      </c>
      <c r="H4" t="n">
        <v>1428</v>
      </c>
      <c r="I4" t="n">
        <v>12</v>
      </c>
      <c r="J4" t="n">
        <v>93</v>
      </c>
      <c r="K4" t="n">
        <v>1752</v>
      </c>
      <c r="L4" t="n">
        <v>171</v>
      </c>
      <c r="M4" t="n">
        <v>55829</v>
      </c>
      <c r="N4" t="n">
        <v>698</v>
      </c>
      <c r="O4" s="2" t="n">
        <v>0.0123</v>
      </c>
      <c r="P4" s="3" t="n">
        <v>0.14006</v>
      </c>
      <c r="Q4" s="3" t="n">
        <v>9.000000000000001e-05</v>
      </c>
      <c r="R4" s="4" t="n">
        <v>1556.2222</v>
      </c>
      <c r="S4" t="n">
        <v>70</v>
      </c>
      <c r="T4" t="n">
        <v>366</v>
      </c>
      <c r="U4" t="n">
        <v>5.57</v>
      </c>
      <c r="V4" t="n">
        <v>6.34</v>
      </c>
    </row>
    <row r="5">
      <c r="A5" t="inlineStr">
        <is>
          <t>lysarr01-blk4-nterm</t>
        </is>
      </c>
      <c r="B5" t="inlineStr">
        <is>
          <t>1+2+3+4</t>
        </is>
      </c>
      <c r="C5" t="n">
        <v>1</v>
      </c>
      <c r="D5" t="inlineStr">
        <is>
          <t>4</t>
        </is>
      </c>
      <c r="E5" t="n">
        <v>4</v>
      </c>
      <c r="F5" t="n">
        <v>3</v>
      </c>
      <c r="G5" t="n">
        <v>4286</v>
      </c>
      <c r="H5" t="n">
        <v>1428</v>
      </c>
      <c r="I5" t="n">
        <v>12</v>
      </c>
      <c r="J5" t="n">
        <v>93</v>
      </c>
      <c r="K5" t="n">
        <v>1752</v>
      </c>
      <c r="L5" t="n">
        <v>171</v>
      </c>
      <c r="M5" t="n">
        <v>72711</v>
      </c>
      <c r="N5" t="n">
        <v>1131</v>
      </c>
      <c r="O5" s="2" t="n">
        <v>0.0153</v>
      </c>
      <c r="P5" s="3" t="n">
        <v>0.18242</v>
      </c>
      <c r="Q5" s="3" t="n">
        <v>0.00015</v>
      </c>
      <c r="R5" s="4" t="n">
        <v>1216.1333</v>
      </c>
      <c r="S5" t="n">
        <v>93</v>
      </c>
      <c r="T5" t="n">
        <v>164</v>
      </c>
      <c r="U5" t="n">
        <v>5.52</v>
      </c>
      <c r="V5" t="n">
        <v>5.84</v>
      </c>
    </row>
    <row r="6">
      <c r="A6" t="inlineStr">
        <is>
          <t>lysarr06-blk22-far</t>
        </is>
      </c>
      <c r="B6" t="inlineStr">
        <is>
          <t>1+2+55+56</t>
        </is>
      </c>
      <c r="C6" t="n">
        <v>2</v>
      </c>
      <c r="D6" t="inlineStr">
        <is>
          <t>2+2</t>
        </is>
      </c>
      <c r="E6" t="n">
        <v>2</v>
      </c>
      <c r="F6" t="n">
        <v>55</v>
      </c>
      <c r="G6" t="n">
        <v>4286</v>
      </c>
      <c r="H6" t="n">
        <v>1428</v>
      </c>
      <c r="I6" t="n">
        <v>12</v>
      </c>
      <c r="J6" t="n">
        <v>93</v>
      </c>
      <c r="K6" t="n">
        <v>1752</v>
      </c>
      <c r="L6" t="n">
        <v>171</v>
      </c>
      <c r="M6" t="n">
        <v>50410</v>
      </c>
      <c r="N6" t="n">
        <v>945</v>
      </c>
      <c r="O6" s="2" t="n">
        <v>0.0184</v>
      </c>
      <c r="P6" s="3" t="n">
        <v>0.12647</v>
      </c>
      <c r="Q6" s="3" t="n">
        <v>0.00013</v>
      </c>
      <c r="R6" s="4" t="n">
        <v>972.8462</v>
      </c>
      <c r="S6" t="n">
        <v>68</v>
      </c>
      <c r="T6" t="n">
        <v>538</v>
      </c>
      <c r="U6" t="n">
        <v>5.43</v>
      </c>
      <c r="V6" t="n">
        <v>6.06</v>
      </c>
    </row>
    <row r="7">
      <c r="A7" t="inlineStr">
        <is>
          <t>lysarr04-blk22-near</t>
        </is>
      </c>
      <c r="B7" t="inlineStr">
        <is>
          <t>27+28+30+31</t>
        </is>
      </c>
      <c r="C7" t="n">
        <v>2</v>
      </c>
      <c r="D7" t="inlineStr">
        <is>
          <t>2+2</t>
        </is>
      </c>
      <c r="E7" t="n">
        <v>2</v>
      </c>
      <c r="F7" t="n">
        <v>4</v>
      </c>
      <c r="G7" t="n">
        <v>4286</v>
      </c>
      <c r="H7" t="n">
        <v>1428</v>
      </c>
      <c r="I7" t="n">
        <v>12</v>
      </c>
      <c r="J7" t="n">
        <v>93</v>
      </c>
      <c r="K7" t="n">
        <v>1752</v>
      </c>
      <c r="L7" t="n">
        <v>171</v>
      </c>
      <c r="M7" t="n">
        <v>53314</v>
      </c>
      <c r="N7" t="n">
        <v>1193</v>
      </c>
      <c r="O7" s="2" t="n">
        <v>0.0219</v>
      </c>
      <c r="P7" s="3" t="n">
        <v>0.13375</v>
      </c>
      <c r="Q7" s="3" t="n">
        <v>0.00016</v>
      </c>
      <c r="R7" s="4" t="n">
        <v>835.9375</v>
      </c>
      <c r="S7" t="n">
        <v>93</v>
      </c>
      <c r="T7" t="n">
        <v>237</v>
      </c>
      <c r="U7" t="n">
        <v>5.47</v>
      </c>
      <c r="V7" t="n">
        <v>5.69</v>
      </c>
    </row>
    <row r="8">
      <c r="A8" t="inlineStr">
        <is>
          <t>lysarr07-blk31-nc</t>
        </is>
      </c>
      <c r="B8" t="inlineStr">
        <is>
          <t>1+2+3+56</t>
        </is>
      </c>
      <c r="C8" t="n">
        <v>2</v>
      </c>
      <c r="D8" t="inlineStr">
        <is>
          <t>3+1</t>
        </is>
      </c>
      <c r="E8" t="n">
        <v>3</v>
      </c>
      <c r="F8" t="n">
        <v>55</v>
      </c>
      <c r="G8" t="n">
        <v>4286</v>
      </c>
      <c r="H8" t="n">
        <v>1428</v>
      </c>
      <c r="I8" t="n">
        <v>12</v>
      </c>
      <c r="J8" t="n">
        <v>93</v>
      </c>
      <c r="K8" t="n">
        <v>1752</v>
      </c>
      <c r="L8" t="n">
        <v>171</v>
      </c>
      <c r="M8" t="n">
        <v>48626</v>
      </c>
      <c r="N8" t="n">
        <v>1140</v>
      </c>
      <c r="O8" s="2" t="n">
        <v>0.0229</v>
      </c>
      <c r="P8" s="3" t="n">
        <v>0.12199</v>
      </c>
      <c r="Q8" s="3" t="n">
        <v>0.00015</v>
      </c>
      <c r="R8" s="4" t="n">
        <v>813.2667</v>
      </c>
      <c r="S8" t="n">
        <v>68</v>
      </c>
      <c r="T8" t="n">
        <v>589</v>
      </c>
      <c r="U8" t="n">
        <v>5.56</v>
      </c>
      <c r="V8" t="n">
        <v>5.79</v>
      </c>
    </row>
    <row r="9">
      <c r="A9" t="inlineStr">
        <is>
          <t>lysarr17-pairsplit</t>
        </is>
      </c>
      <c r="B9" t="inlineStr">
        <is>
          <t>1+2+28+29</t>
        </is>
      </c>
      <c r="C9" t="n">
        <v>2</v>
      </c>
      <c r="D9" t="inlineStr">
        <is>
          <t>2+2</t>
        </is>
      </c>
      <c r="E9" t="n">
        <v>2</v>
      </c>
      <c r="F9" t="n">
        <v>28</v>
      </c>
      <c r="G9" t="n">
        <v>4286</v>
      </c>
      <c r="H9" t="n">
        <v>1428</v>
      </c>
      <c r="I9" t="n">
        <v>12</v>
      </c>
      <c r="J9" t="n">
        <v>93</v>
      </c>
      <c r="K9" t="n">
        <v>1752</v>
      </c>
      <c r="L9" t="n">
        <v>171</v>
      </c>
      <c r="M9" t="n">
        <v>41892</v>
      </c>
      <c r="N9" t="n">
        <v>998</v>
      </c>
      <c r="O9" s="2" t="n">
        <v>0.0233</v>
      </c>
      <c r="P9" s="3" t="n">
        <v>0.1051</v>
      </c>
      <c r="Q9" s="3" t="n">
        <v>0.00013</v>
      </c>
      <c r="R9" s="4" t="n">
        <v>808.4615</v>
      </c>
      <c r="S9" t="n">
        <v>57</v>
      </c>
      <c r="T9" t="n">
        <v>524</v>
      </c>
      <c r="U9" t="n">
        <v>5.66</v>
      </c>
      <c r="V9" t="n">
        <v>5.88</v>
      </c>
    </row>
    <row r="10">
      <c r="A10" t="inlineStr">
        <is>
          <t>lysarr08-blk31-mid</t>
        </is>
      </c>
      <c r="B10" t="inlineStr">
        <is>
          <t>27+28+29+56</t>
        </is>
      </c>
      <c r="C10" t="n">
        <v>2</v>
      </c>
      <c r="D10" t="inlineStr">
        <is>
          <t>3+1</t>
        </is>
      </c>
      <c r="E10" t="n">
        <v>3</v>
      </c>
      <c r="F10" t="n">
        <v>29</v>
      </c>
      <c r="G10" t="n">
        <v>4286</v>
      </c>
      <c r="H10" t="n">
        <v>1428</v>
      </c>
      <c r="I10" t="n">
        <v>12</v>
      </c>
      <c r="J10" t="n">
        <v>93</v>
      </c>
      <c r="K10" t="n">
        <v>1752</v>
      </c>
      <c r="L10" t="n">
        <v>171</v>
      </c>
      <c r="M10" t="n">
        <v>46909</v>
      </c>
      <c r="N10" t="n">
        <v>1331</v>
      </c>
      <c r="O10" s="2" t="n">
        <v>0.0276</v>
      </c>
      <c r="P10" s="3" t="n">
        <v>0.11768</v>
      </c>
      <c r="Q10" s="3" t="n">
        <v>0.00018</v>
      </c>
      <c r="R10" s="4" t="n">
        <v>653.7778</v>
      </c>
      <c r="S10" t="n">
        <v>86</v>
      </c>
      <c r="T10" t="n">
        <v>515</v>
      </c>
      <c r="U10" t="n">
        <v>5.56</v>
      </c>
      <c r="V10" t="n">
        <v>5.89</v>
      </c>
    </row>
    <row r="11">
      <c r="A11" t="inlineStr">
        <is>
          <t>lysarr11-blk211-c</t>
        </is>
      </c>
      <c r="B11" t="inlineStr">
        <is>
          <t>1+29+55+56</t>
        </is>
      </c>
      <c r="C11" t="n">
        <v>3</v>
      </c>
      <c r="D11" t="inlineStr">
        <is>
          <t>1+1+2</t>
        </is>
      </c>
      <c r="E11" t="n">
        <v>2</v>
      </c>
      <c r="F11" t="n">
        <v>55</v>
      </c>
      <c r="G11" t="n">
        <v>4286</v>
      </c>
      <c r="H11" t="n">
        <v>1428</v>
      </c>
      <c r="I11" t="n">
        <v>12</v>
      </c>
      <c r="J11" t="n">
        <v>92</v>
      </c>
      <c r="K11" t="n">
        <v>1753</v>
      </c>
      <c r="L11" t="n">
        <v>171</v>
      </c>
      <c r="M11" t="n">
        <v>24671</v>
      </c>
      <c r="N11" t="n">
        <v>2064</v>
      </c>
      <c r="O11" s="2" t="n">
        <v>0.0772</v>
      </c>
      <c r="P11" s="3" t="n">
        <v>0.06257</v>
      </c>
      <c r="Q11" s="3" t="n">
        <v>0.00027</v>
      </c>
      <c r="R11" s="4" t="n">
        <v>231.7407</v>
      </c>
      <c r="S11" t="n">
        <v>68</v>
      </c>
      <c r="T11" t="n">
        <v>923</v>
      </c>
      <c r="U11" t="n">
        <v>5.49</v>
      </c>
      <c r="V11" t="n">
        <v>5.77</v>
      </c>
    </row>
    <row r="12">
      <c r="A12" t="inlineStr">
        <is>
          <t>lysarr10-blk211-n</t>
        </is>
      </c>
      <c r="B12" t="inlineStr">
        <is>
          <t>1+2+28+56</t>
        </is>
      </c>
      <c r="C12" t="n">
        <v>3</v>
      </c>
      <c r="D12" t="inlineStr">
        <is>
          <t>2+1+1</t>
        </is>
      </c>
      <c r="E12" t="n">
        <v>2</v>
      </c>
      <c r="F12" t="n">
        <v>55</v>
      </c>
      <c r="G12" t="n">
        <v>4286</v>
      </c>
      <c r="H12" t="n">
        <v>1428</v>
      </c>
      <c r="I12" t="n">
        <v>12</v>
      </c>
      <c r="J12" t="n">
        <v>92</v>
      </c>
      <c r="K12" t="n">
        <v>1753</v>
      </c>
      <c r="L12" t="n">
        <v>171</v>
      </c>
      <c r="M12" t="n">
        <v>21324</v>
      </c>
      <c r="N12" t="n">
        <v>1998</v>
      </c>
      <c r="O12" s="2" t="n">
        <v>0.0857</v>
      </c>
      <c r="P12" s="3" t="n">
        <v>0.05408</v>
      </c>
      <c r="Q12" s="3" t="n">
        <v>0.00027</v>
      </c>
      <c r="R12" s="4" t="n">
        <v>200.2963</v>
      </c>
      <c r="S12" t="n">
        <v>69</v>
      </c>
      <c r="T12" t="n">
        <v>887</v>
      </c>
      <c r="U12" t="n">
        <v>5.5</v>
      </c>
      <c r="V12" t="n">
        <v>6</v>
      </c>
    </row>
    <row r="13">
      <c r="A13" t="inlineStr">
        <is>
          <t>lysarr14-tight-n</t>
        </is>
      </c>
      <c r="B13" t="inlineStr">
        <is>
          <t>1+3+5+7</t>
        </is>
      </c>
      <c r="C13" t="n">
        <v>4</v>
      </c>
      <c r="D13" t="inlineStr">
        <is>
          <t>1+1+1+1</t>
        </is>
      </c>
      <c r="E13" t="n">
        <v>1</v>
      </c>
      <c r="F13" t="n">
        <v>6</v>
      </c>
      <c r="G13" t="n">
        <v>4286</v>
      </c>
      <c r="H13" t="n">
        <v>1428</v>
      </c>
      <c r="I13" t="n">
        <v>12</v>
      </c>
      <c r="J13" t="n">
        <v>93</v>
      </c>
      <c r="K13" t="n">
        <v>1752</v>
      </c>
      <c r="L13" t="n">
        <v>171</v>
      </c>
      <c r="M13" t="n">
        <v>17691</v>
      </c>
      <c r="N13" t="n">
        <v>2512</v>
      </c>
      <c r="O13" s="2" t="n">
        <v>0.1243</v>
      </c>
      <c r="P13" s="3" t="n">
        <v>0.04438</v>
      </c>
      <c r="Q13" s="3" t="n">
        <v>0.00033</v>
      </c>
      <c r="R13" s="4" t="n">
        <v>134.4848</v>
      </c>
      <c r="S13" t="n">
        <v>93</v>
      </c>
      <c r="T13" t="n">
        <v>420</v>
      </c>
      <c r="U13" t="n">
        <v>5.75</v>
      </c>
      <c r="V13" t="n">
        <v>5.8</v>
      </c>
    </row>
    <row r="14">
      <c r="A14" t="inlineStr">
        <is>
          <t>lysarr05-blk22-mid</t>
        </is>
      </c>
      <c r="B14" t="inlineStr">
        <is>
          <t>18+20+37+39</t>
        </is>
      </c>
      <c r="C14" t="n">
        <v>4</v>
      </c>
      <c r="D14" t="inlineStr">
        <is>
          <t>1+1+1+1</t>
        </is>
      </c>
      <c r="E14" t="n">
        <v>1</v>
      </c>
      <c r="F14" t="n">
        <v>21</v>
      </c>
      <c r="G14" t="n">
        <v>4286</v>
      </c>
      <c r="H14" t="n">
        <v>1428</v>
      </c>
      <c r="I14" t="n">
        <v>12</v>
      </c>
      <c r="J14" t="n">
        <v>93</v>
      </c>
      <c r="K14" t="n">
        <v>1752</v>
      </c>
      <c r="L14" t="n">
        <v>171</v>
      </c>
      <c r="M14" t="n">
        <v>9492</v>
      </c>
      <c r="N14" t="n">
        <v>1377</v>
      </c>
      <c r="O14" s="2" t="n">
        <v>0.1267</v>
      </c>
      <c r="P14" s="3" t="n">
        <v>0.02381</v>
      </c>
      <c r="Q14" s="3" t="n">
        <v>0.00018</v>
      </c>
      <c r="R14" s="4" t="n">
        <v>132.2778</v>
      </c>
      <c r="S14" t="n">
        <v>70</v>
      </c>
      <c r="T14" t="n">
        <v>482</v>
      </c>
      <c r="U14" t="n">
        <v>5.75</v>
      </c>
      <c r="V14" t="n">
        <v>5.94</v>
      </c>
    </row>
    <row r="15">
      <c r="A15" t="inlineStr">
        <is>
          <t>lysarr16-tight-c</t>
        </is>
      </c>
      <c r="B15" t="inlineStr">
        <is>
          <t>50+52+54+56</t>
        </is>
      </c>
      <c r="C15" t="n">
        <v>4</v>
      </c>
      <c r="D15" t="inlineStr">
        <is>
          <t>1+1+1+1</t>
        </is>
      </c>
      <c r="E15" t="n">
        <v>1</v>
      </c>
      <c r="F15" t="n">
        <v>6</v>
      </c>
      <c r="G15" t="n">
        <v>4286</v>
      </c>
      <c r="H15" t="n">
        <v>1428</v>
      </c>
      <c r="I15" t="n">
        <v>12</v>
      </c>
      <c r="J15" t="n">
        <v>93</v>
      </c>
      <c r="K15" t="n">
        <v>1752</v>
      </c>
      <c r="L15" t="n">
        <v>171</v>
      </c>
      <c r="M15" t="n">
        <v>21155</v>
      </c>
      <c r="N15" t="n">
        <v>3183</v>
      </c>
      <c r="O15" s="2" t="n">
        <v>0.1308</v>
      </c>
      <c r="P15" s="3" t="n">
        <v>0.05307</v>
      </c>
      <c r="Q15" s="3" t="n">
        <v>0.00042</v>
      </c>
      <c r="R15" s="4" t="n">
        <v>126.3571</v>
      </c>
      <c r="S15" t="n">
        <v>93</v>
      </c>
      <c r="T15" t="n">
        <v>402</v>
      </c>
      <c r="U15" t="n">
        <v>5.67</v>
      </c>
      <c r="V15" t="n">
        <v>5.48</v>
      </c>
    </row>
    <row r="16">
      <c r="A16" t="inlineStr">
        <is>
          <t>lysarr15-tight-mid</t>
        </is>
      </c>
      <c r="B16" t="inlineStr">
        <is>
          <t>25+27+29+31</t>
        </is>
      </c>
      <c r="C16" t="n">
        <v>4</v>
      </c>
      <c r="D16" t="inlineStr">
        <is>
          <t>1+1+1+1</t>
        </is>
      </c>
      <c r="E16" t="n">
        <v>1</v>
      </c>
      <c r="F16" t="n">
        <v>6</v>
      </c>
      <c r="G16" t="n">
        <v>4286</v>
      </c>
      <c r="H16" t="n">
        <v>1428</v>
      </c>
      <c r="I16" t="n">
        <v>12</v>
      </c>
      <c r="J16" t="n">
        <v>93</v>
      </c>
      <c r="K16" t="n">
        <v>1752</v>
      </c>
      <c r="L16" t="n">
        <v>171</v>
      </c>
      <c r="M16" t="n">
        <v>16557</v>
      </c>
      <c r="N16" t="n">
        <v>2585</v>
      </c>
      <c r="O16" s="2" t="n">
        <v>0.135</v>
      </c>
      <c r="P16" s="3" t="n">
        <v>0.04154</v>
      </c>
      <c r="Q16" s="3" t="n">
        <v>0.00034</v>
      </c>
      <c r="R16" s="4" t="n">
        <v>122.1765</v>
      </c>
      <c r="S16" t="n">
        <v>93</v>
      </c>
      <c r="T16" t="n">
        <v>410</v>
      </c>
      <c r="U16" t="n">
        <v>5.62</v>
      </c>
      <c r="V16" t="n">
        <v>5.78</v>
      </c>
    </row>
    <row r="17">
      <c r="A17" t="inlineStr">
        <is>
          <t>lysarr18-blocka</t>
        </is>
      </c>
      <c r="B17" t="inlineStr">
        <is>
          <t>4+8+13+17</t>
        </is>
      </c>
      <c r="C17" t="n">
        <v>4</v>
      </c>
      <c r="D17" t="inlineStr">
        <is>
          <t>1+1+1+1</t>
        </is>
      </c>
      <c r="E17" t="n">
        <v>1</v>
      </c>
      <c r="F17" t="n">
        <v>13</v>
      </c>
      <c r="G17" t="n">
        <v>4286</v>
      </c>
      <c r="H17" t="n">
        <v>1428</v>
      </c>
      <c r="I17" t="n">
        <v>12</v>
      </c>
      <c r="J17" t="n">
        <v>93</v>
      </c>
      <c r="K17" t="n">
        <v>1752</v>
      </c>
      <c r="L17" t="n">
        <v>171</v>
      </c>
      <c r="M17" t="n">
        <v>3689</v>
      </c>
      <c r="N17" t="n">
        <v>3333</v>
      </c>
      <c r="O17" s="2" t="n">
        <v>0.4747</v>
      </c>
      <c r="P17" s="3" t="n">
        <v>0.00925</v>
      </c>
      <c r="Q17" s="3" t="n">
        <v>0.00044</v>
      </c>
      <c r="R17" s="4" t="n">
        <v>21.0227</v>
      </c>
      <c r="S17" t="n">
        <v>92</v>
      </c>
      <c r="T17" t="n">
        <v>732</v>
      </c>
      <c r="U17" t="n">
        <v>5.84</v>
      </c>
      <c r="V17" t="n">
        <v>5.72</v>
      </c>
    </row>
    <row r="18">
      <c r="A18" t="inlineStr">
        <is>
          <t>lysarr20-blockc</t>
        </is>
      </c>
      <c r="B18" t="inlineStr">
        <is>
          <t>41+46+51+55</t>
        </is>
      </c>
      <c r="C18" t="n">
        <v>4</v>
      </c>
      <c r="D18" t="inlineStr">
        <is>
          <t>1+1+1+1</t>
        </is>
      </c>
      <c r="E18" t="n">
        <v>1</v>
      </c>
      <c r="F18" t="n">
        <v>14</v>
      </c>
      <c r="G18" t="n">
        <v>4286</v>
      </c>
      <c r="H18" t="n">
        <v>1428</v>
      </c>
      <c r="I18" t="n">
        <v>12</v>
      </c>
      <c r="J18" t="n">
        <v>93</v>
      </c>
      <c r="K18" t="n">
        <v>1752</v>
      </c>
      <c r="L18" t="n">
        <v>171</v>
      </c>
      <c r="M18" t="n">
        <v>3528</v>
      </c>
      <c r="N18" t="n">
        <v>4072</v>
      </c>
      <c r="O18" s="2" t="n">
        <v>0.5358000000000001</v>
      </c>
      <c r="P18" s="3" t="n">
        <v>0.00885</v>
      </c>
      <c r="Q18" s="3" t="n">
        <v>0.00054</v>
      </c>
      <c r="R18" s="4" t="n">
        <v>16.3889</v>
      </c>
      <c r="S18" t="n">
        <v>92</v>
      </c>
      <c r="T18" t="n">
        <v>820</v>
      </c>
      <c r="U18" t="n">
        <v>5.72</v>
      </c>
      <c r="V18" t="n">
        <v>5.7</v>
      </c>
    </row>
    <row r="19">
      <c r="A19" t="inlineStr">
        <is>
          <t>lysarr19-blockb</t>
        </is>
      </c>
      <c r="B19" t="inlineStr">
        <is>
          <t>21+26+31+36</t>
        </is>
      </c>
      <c r="C19" t="n">
        <v>4</v>
      </c>
      <c r="D19" t="inlineStr">
        <is>
          <t>1+1+1+1</t>
        </is>
      </c>
      <c r="E19" t="n">
        <v>1</v>
      </c>
      <c r="F19" t="n">
        <v>15</v>
      </c>
      <c r="G19" t="n">
        <v>4286</v>
      </c>
      <c r="H19" t="n">
        <v>1428</v>
      </c>
      <c r="I19" t="n">
        <v>12</v>
      </c>
      <c r="J19" t="n">
        <v>93</v>
      </c>
      <c r="K19" t="n">
        <v>1752</v>
      </c>
      <c r="L19" t="n">
        <v>171</v>
      </c>
      <c r="M19" t="n">
        <v>2332</v>
      </c>
      <c r="N19" t="n">
        <v>3055</v>
      </c>
      <c r="O19" s="2" t="n">
        <v>0.5671</v>
      </c>
      <c r="P19" s="3" t="n">
        <v>0.00585</v>
      </c>
      <c r="Q19" s="3" t="n">
        <v>0.00041</v>
      </c>
      <c r="R19" s="4" t="n">
        <v>14.2683</v>
      </c>
      <c r="S19" t="n">
        <v>90</v>
      </c>
      <c r="T19" t="n">
        <v>749</v>
      </c>
      <c r="U19" t="n">
        <v>5.86</v>
      </c>
      <c r="V19" t="n">
        <v>5.65</v>
      </c>
    </row>
    <row r="20">
      <c r="A20" t="inlineStr">
        <is>
          <t>lysarr13-even-4-wide</t>
        </is>
      </c>
      <c r="B20" t="inlineStr">
        <is>
          <t>1+20+39+56</t>
        </is>
      </c>
      <c r="C20" t="n">
        <v>4</v>
      </c>
      <c r="D20" t="inlineStr">
        <is>
          <t>1+1+1+1</t>
        </is>
      </c>
      <c r="E20" t="n">
        <v>1</v>
      </c>
      <c r="F20" t="n">
        <v>55</v>
      </c>
      <c r="G20" t="n">
        <v>4286</v>
      </c>
      <c r="H20" t="n">
        <v>1428</v>
      </c>
      <c r="I20" t="n">
        <v>12</v>
      </c>
      <c r="J20" t="n">
        <v>93</v>
      </c>
      <c r="K20" t="n">
        <v>1752</v>
      </c>
      <c r="L20" t="n">
        <v>171</v>
      </c>
      <c r="M20" t="n">
        <v>403</v>
      </c>
      <c r="N20" t="n">
        <v>2378</v>
      </c>
      <c r="O20" s="2" t="n">
        <v>0.8551</v>
      </c>
      <c r="P20" s="3" t="n">
        <v>0.00101</v>
      </c>
      <c r="Q20" s="3" t="n">
        <v>0.00032</v>
      </c>
      <c r="R20" s="4" t="n">
        <v>3.1562</v>
      </c>
      <c r="S20" t="n">
        <v>76</v>
      </c>
      <c r="T20" t="n">
        <v>1002</v>
      </c>
      <c r="U20" t="n">
        <v>6.43</v>
      </c>
      <c r="V20" t="n">
        <v>5.99</v>
      </c>
    </row>
    <row r="21">
      <c r="A21" t="inlineStr">
        <is>
          <t>lysarr12-even-4</t>
        </is>
      </c>
      <c r="B21" t="inlineStr">
        <is>
          <t>6+21+35+50</t>
        </is>
      </c>
      <c r="C21" t="n">
        <v>4</v>
      </c>
      <c r="D21" t="inlineStr">
        <is>
          <t>1+1+1+1</t>
        </is>
      </c>
      <c r="E21" t="n">
        <v>1</v>
      </c>
      <c r="F21" t="n">
        <v>44</v>
      </c>
      <c r="G21" t="n">
        <v>4286</v>
      </c>
      <c r="H21" t="n">
        <v>1428</v>
      </c>
      <c r="I21" t="n">
        <v>12</v>
      </c>
      <c r="J21" t="n">
        <v>93</v>
      </c>
      <c r="K21" t="n">
        <v>1752</v>
      </c>
      <c r="L21" t="n">
        <v>171</v>
      </c>
      <c r="M21" t="n">
        <v>312</v>
      </c>
      <c r="N21" t="n">
        <v>2095</v>
      </c>
      <c r="O21" s="2" t="n">
        <v>0.8704</v>
      </c>
      <c r="P21" s="3" t="n">
        <v>0.00078</v>
      </c>
      <c r="Q21" s="3" t="n">
        <v>0.00028</v>
      </c>
      <c r="R21" s="4" t="n">
        <v>2.7857</v>
      </c>
      <c r="S21" t="n">
        <v>63</v>
      </c>
      <c r="T21" t="n">
        <v>877</v>
      </c>
      <c r="U21" t="n">
        <v>6.19</v>
      </c>
      <c r="V21" t="n">
        <v>5.86</v>
      </c>
    </row>
  </sheetData>
  <autoFilter ref="A1:V21"/>
  <conditionalFormatting sqref="O2:O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Domains</t>
        </is>
      </c>
      <c r="B1" s="5" t="inlineStr">
        <is>
          <t>Runs</t>
        </is>
      </c>
      <c r="C1" s="5" t="inlineStr">
        <is>
          <t>Inter share min</t>
        </is>
      </c>
      <c r="D1" s="5" t="inlineStr">
        <is>
          <t>Inter share max</t>
        </is>
      </c>
      <c r="E1" s="5" t="inlineStr">
        <is>
          <t>Inter share mean</t>
        </is>
      </c>
      <c r="F1" s="5" t="inlineStr">
        <is>
          <t>P(pair) intra mean</t>
        </is>
      </c>
      <c r="G1" s="5" t="inlineStr">
        <is>
          <t>P(pair) inter mean</t>
        </is>
      </c>
    </row>
    <row r="2">
      <c r="A2" t="n">
        <v>1</v>
      </c>
      <c r="B2" t="n">
        <v>3</v>
      </c>
      <c r="C2" s="2" t="n">
        <v>0.0064</v>
      </c>
      <c r="D2" s="2" t="n">
        <v>0.0153</v>
      </c>
      <c r="E2" s="2" t="n">
        <v>0.0104</v>
      </c>
      <c r="F2" s="3" t="n">
        <v>0.18688</v>
      </c>
      <c r="G2" s="3" t="n">
        <v>0.0001033333333333333</v>
      </c>
    </row>
    <row r="3">
      <c r="A3" t="n">
        <v>2</v>
      </c>
      <c r="B3" t="n">
        <v>6</v>
      </c>
      <c r="C3" s="2" t="n">
        <v>0.0123</v>
      </c>
      <c r="D3" s="2" t="n">
        <v>0.0276</v>
      </c>
      <c r="E3" s="2" t="n">
        <v>0.02106666666666667</v>
      </c>
      <c r="F3" s="3" t="n">
        <v>0.124175</v>
      </c>
      <c r="G3" s="3" t="n">
        <v>0.00014</v>
      </c>
    </row>
    <row r="4">
      <c r="A4" t="n">
        <v>3</v>
      </c>
      <c r="B4" t="n">
        <v>2</v>
      </c>
      <c r="C4" s="2" t="n">
        <v>0.0772</v>
      </c>
      <c r="D4" s="2" t="n">
        <v>0.0857</v>
      </c>
      <c r="E4" s="2" t="n">
        <v>0.08144999999999999</v>
      </c>
      <c r="F4" s="3" t="n">
        <v>0.058325</v>
      </c>
      <c r="G4" s="3" t="n">
        <v>0.00027</v>
      </c>
    </row>
    <row r="5">
      <c r="A5" t="n">
        <v>4</v>
      </c>
      <c r="B5" t="n">
        <v>9</v>
      </c>
      <c r="C5" s="2" t="n">
        <v>0.1243</v>
      </c>
      <c r="D5" s="2" t="n">
        <v>0.8704</v>
      </c>
      <c r="E5" s="2" t="n">
        <v>0.4244333333333333</v>
      </c>
      <c r="F5" s="3" t="n">
        <v>0.02094888888888889</v>
      </c>
      <c r="G5" s="3" t="n">
        <v>0.0003622222222222222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115" customWidth="1" min="2" max="2"/>
  </cols>
  <sheetData>
    <row r="1">
      <c r="A1" s="6" t="inlineStr">
        <is>
          <t>What this is</t>
        </is>
      </c>
      <c r="B1" s="7" t="inlineStr"/>
    </row>
    <row r="2">
      <c r="A2" t="inlineStr"/>
      <c r="B2" s="7" t="inlineStr">
        <is>
          <t>20 runs of one fixed 298-residue ELP scaffold. 6xHis, 50 VPGIG, 4 VPGKG, 2 VPGMG and 4 RGD are identical in every run; only the four lysine positions differ, so every difference in the numbers is sequence architecture alone.</t>
        </is>
      </c>
    </row>
    <row r="3">
      <c r="A3" t="inlineStr"/>
      <c r="B3" s="7" t="inlineStr">
        <is>
          <t>VPGMG is fixed at pentapeptide 19 and 38 (an exact 18/18/18 split) and RGD after 11, 22, 33 and 44. The architecture columns are read from each run's own molecules.fasta, not from a table kept alongside, so they cannot drift from what was simulated.</t>
        </is>
      </c>
    </row>
    <row r="4">
      <c r="A4" t="inlineStr"/>
      <c r="B4" s="7" t="inlineStr"/>
    </row>
    <row r="5">
      <c r="A5" s="6" t="inlineStr">
        <is>
          <t>Conditions</t>
        </is>
      </c>
      <c r="B5" s="7" t="inlineStr"/>
    </row>
    <row r="6">
      <c r="A6" t="inlineStr"/>
      <c r="B6" s="7" t="inlineStr">
        <is>
          <t>preattached with 0.3 of lysines pinned at t=0, 0.04 chains/nm2, 5.0 nm spacing, 20x20x50 nm box, 400 ns, no K-K crosslinking. Contacts at a 12 A cutoff over frames 1428-5713 (100-400 ns), 4286 frames per run.</t>
        </is>
      </c>
    </row>
    <row r="7">
      <c r="A7" t="inlineStr"/>
      <c r="B7" s="7" t="inlineStr"/>
    </row>
    <row r="8">
      <c r="A8" s="6" t="inlineStr">
        <is>
          <t>Reading the numbers</t>
        </is>
      </c>
      <c r="B8" s="7" t="inlineStr"/>
    </row>
    <row r="9">
      <c r="A9" t="inlineStr">
        <is>
          <t>Inter share</t>
        </is>
      </c>
      <c r="B9" s="7" t="inlineStr">
        <is>
          <t>inter / (intra + inter) hits: the fraction of lysine encounters that bridge two chains rather than folding one back on itself. The column that decides whether crosslinking would build a network or only loops.</t>
        </is>
      </c>
    </row>
    <row r="10">
      <c r="A10" t="inlineStr">
        <is>
          <t>P(pair)</t>
        </is>
      </c>
      <c r="B10" s="7" t="inlineStr">
        <is>
          <t>per-pair, per-frame contact probability. Unaffected by the differing pair counts, so this is the fair column for comparing runs.</t>
        </is>
      </c>
    </row>
    <row r="11">
      <c r="A11" t="inlineStr">
        <is>
          <t>Pairs dropped</t>
        </is>
      </c>
      <c r="B11" s="7" t="inlineStr">
        <is>
          <t>pairs where BOTH lysines are surface-pinned. Their separation is fixed by the construction rather than the dynamics, so they are excluded.</t>
        </is>
      </c>
    </row>
    <row r="12">
      <c r="A12" t="inlineStr"/>
      <c r="B12" s="7" t="inlineStr"/>
    </row>
    <row r="13">
      <c r="A13" s="6" t="inlineStr">
        <is>
          <t>The result</t>
        </is>
      </c>
      <c r="B13" s="7" t="inlineStr"/>
    </row>
    <row r="14">
      <c r="A14" t="inlineStr"/>
      <c r="B14" s="7" t="inlineStr">
        <is>
          <t>Inter share spans 0.6% to 87%, a 136x range, from arrangement alone. Domain count drives it: one block of 4 gives 0.6-1.5%, four isolated lysines 12-87%. Within the 4-domain group, span decides the rest. Spread the lysines to get bridges; clustering them is close to the worst case.</t>
        </is>
      </c>
    </row>
    <row r="15">
      <c r="A15" t="inlineStr"/>
      <c r="B15" s="7" t="inlineStr"/>
    </row>
    <row r="16">
      <c r="A16" s="6" t="inlineStr">
        <is>
          <t>Caveats</t>
        </is>
      </c>
      <c r="B16" s="7" t="inlineStr"/>
    </row>
    <row r="17">
      <c r="A17" t="inlineStr"/>
      <c r="B17" s="7" t="inlineStr">
        <is>
          <t>One seed per design, so ordering within a group is unresolved; the between-group differences are far larger than seed noise could explain.</t>
        </is>
      </c>
    </row>
    <row r="18">
      <c r="A18" t="inlineStr"/>
      <c r="B18" s="7" t="inlineStr">
        <is>
          <t>No crosslinking in these runs, so these are contact opportunities, not bonds. And at crosslink_valence 1 a lysine is a degree-&lt;=2 graph node, so no arrangement yields a non-zero modulus until f-functional junctions exist (docs/GAPS.md LIT-1).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2026-09-24T06:57:47Z</dcterms:created>
  <dcterms:modified xsi:type="dcterms:W3CDTF">2026-09-24T06:57:47Z</dcterms:modified>
</cp:coreProperties>
</file>