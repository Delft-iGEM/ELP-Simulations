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tacts detail" sheetId="2" state="visible" r:id="rId2"/>
    <sheet name="Notes" sheetId="3" state="visible" r:id="rId3"/>
  </sheets>
  <definedNames>
    <definedName name="_xlnm._FilterDatabase" localSheetId="0" hidden="1">'Summary'!$A$2:$Y$26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&quot;x&quot;"/>
    <numFmt numFmtId="166" formatCode="0.0%"/>
    <numFmt numFmtId="167" formatCode="0.00000"/>
  </numFmts>
  <fonts count="7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  <font>
      <name val="Arial"/>
      <b val="1"/>
      <color rgb="001F3864"/>
      <sz val="12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/>
    </xf>
    <xf numFmtId="0" fontId="3" fillId="7" borderId="1" applyAlignment="1" pivotButton="0" quotePrefix="0" xfId="0">
      <alignment horizontal="left" wrapText="1"/>
    </xf>
    <xf numFmtId="3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167" fontId="3" fillId="0" borderId="1" pivotButton="0" quotePrefix="0" xfId="0"/>
    <xf numFmtId="0" fontId="3" fillId="8" borderId="1" applyAlignment="1" pivotButton="0" quotePrefix="0" xfId="0">
      <alignment horizontal="left" wrapText="1"/>
    </xf>
    <xf numFmtId="0" fontId="3" fillId="9" borderId="1" applyAlignment="1" pivotButton="0" quotePrefix="0" xfId="0">
      <alignment horizontal="left" wrapText="1"/>
    </xf>
    <xf numFmtId="0" fontId="4" fillId="0" borderId="0" pivotButton="0" quotePrefix="0" xfId="0"/>
    <xf numFmtId="0" fontId="3" fillId="0" borderId="1" pivotButton="0" quotePrefix="0" xfId="0"/>
    <xf numFmtId="2" fontId="3" fillId="0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analysis</author>
  </authors>
  <commentList>
    <comment ref="E3" authorId="0" shapeId="0">
      <text>
        <t>BUG-XL-7 (memory / robust-audit branch): tools/crosslink.py never called setUsesPeriodicBoundaryConditions(True) on the crosslink force, so a bond formed across a periodic boundary was evaluated one box length from r0. Every crosslinking run of batch 265624-265643 diverged to ~1e13 nm within two reaction checks of crosslink_start_step. The bond counts are still the reactor's own log; the trajectory (and so every contact number on the same row) is not physical.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30" customWidth="1" min="5" max="5"/>
    <col width="8" customWidth="1" min="6" max="6"/>
    <col width="11" customWidth="1" min="7" max="7"/>
    <col width="12" customWidth="1" min="8" max="8"/>
    <col width="8" customWidth="1" min="9" max="9"/>
    <col width="9" customWidth="1" min="10" max="10"/>
    <col width="12" customWidth="1" min="11" max="11"/>
    <col width="12" customWidth="1" min="12" max="12"/>
    <col width="11" customWidth="1" min="13" max="13"/>
    <col width="11" customWidth="1" min="14" max="14"/>
    <col width="12" customWidth="1" min="15" max="15"/>
    <col width="12" customWidth="1" min="16" max="16"/>
    <col width="13" customWidth="1" min="17" max="17"/>
    <col width="10" customWidth="1" min="18" max="18"/>
    <col width="11" customWidth="1" min="19" max="19"/>
    <col width="12" customWidth="1" min="20" max="20"/>
    <col width="11" customWidth="1" min="21" max="21"/>
    <col width="11" customWidth="1" min="22" max="22"/>
    <col width="9" customWidth="1" min="23" max="23"/>
    <col width="9" customWidth="1" min="24" max="24"/>
    <col width="12" customWidth="1" min="25" max="25"/>
  </cols>
  <sheetData>
    <row r="1">
      <c r="A1" s="1" t="inlineStr">
        <is>
          <t>the run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inlineStr">
        <is>
          <t>K–K contacts (pairs within 14 Å, counted every frame)</t>
        </is>
      </c>
      <c r="L1" s="2" t="n"/>
      <c r="M1" s="2" t="n"/>
      <c r="N1" s="2" t="n"/>
      <c r="O1" s="2" t="n"/>
      <c r="P1" s="2" t="n"/>
      <c r="Q1" s="2" t="n"/>
      <c r="R1" s="4" t="inlineStr">
        <is>
          <t>K–K bonds actually formed (crosslink_events.csv)</t>
        </is>
      </c>
      <c r="S1" s="2" t="n"/>
      <c r="T1" s="2" t="n"/>
      <c r="U1" s="2" t="n"/>
      <c r="V1" s="2" t="n"/>
      <c r="W1" s="5" t="inlineStr">
        <is>
          <t>K–surface bonds</t>
        </is>
      </c>
      <c r="X1" s="2" t="n"/>
      <c r="Y1" s="2" t="n"/>
    </row>
    <row r="2" ht="30" customHeight="1">
      <c r="A2" s="6" t="inlineStr">
        <is>
          <t>Run</t>
        </is>
      </c>
      <c r="B2" s="6" t="inlineStr">
        <is>
          <t>Family</t>
        </is>
      </c>
      <c r="C2" s="6" t="inlineStr">
        <is>
          <t>Mode</t>
        </is>
      </c>
      <c r="D2" s="6" t="inlineStr">
        <is>
          <t>Crosslinking</t>
        </is>
      </c>
      <c r="E2" s="6" t="inlineStr">
        <is>
          <t>Data quality</t>
        </is>
      </c>
      <c r="F2" s="6" t="inlineStr">
        <is>
          <t>Frames</t>
        </is>
      </c>
      <c r="G2" s="6" t="inlineStr">
        <is>
          <t>Steps/frame</t>
        </is>
      </c>
      <c r="H2" s="6" t="inlineStr">
        <is>
          <t>Saved time (ns)</t>
        </is>
      </c>
      <c r="I2" s="6" t="inlineStr">
        <is>
          <t>Chains</t>
        </is>
      </c>
      <c r="J2" s="6" t="inlineStr">
        <is>
          <t>Lysines</t>
        </is>
      </c>
      <c r="K2" s="6" t="inlineStr">
        <is>
          <t>intra (pair-frames)</t>
        </is>
      </c>
      <c r="L2" s="6" t="inlineStr">
        <is>
          <t>inter (pair-frames)</t>
        </is>
      </c>
      <c r="M2" s="6" t="inlineStr">
        <is>
          <t>inter / intra</t>
        </is>
      </c>
      <c r="N2" s="6" t="inlineStr">
        <is>
          <t>inter share</t>
        </is>
      </c>
      <c r="O2" s="6" t="inlineStr">
        <is>
          <t>P(pair) intra</t>
        </is>
      </c>
      <c r="P2" s="6" t="inlineStr">
        <is>
          <t>P(pair) inter</t>
        </is>
      </c>
      <c r="Q2" s="6" t="inlineStr">
        <is>
          <t>P inter / P intra</t>
        </is>
      </c>
      <c r="R2" s="6" t="inlineStr">
        <is>
          <t>K–K total</t>
        </is>
      </c>
      <c r="S2" s="6" t="inlineStr">
        <is>
          <t>intra (loops)</t>
        </is>
      </c>
      <c r="T2" s="6" t="inlineStr">
        <is>
          <t>inter (bridges)</t>
        </is>
      </c>
      <c r="U2" s="6" t="inlineStr">
        <is>
          <t>inter / intra</t>
        </is>
      </c>
      <c r="V2" s="6" t="inlineStr">
        <is>
          <t>inter share</t>
        </is>
      </c>
      <c r="W2" s="6" t="inlineStr">
        <is>
          <t>total</t>
        </is>
      </c>
      <c r="X2" s="6" t="inlineStr">
        <is>
          <t>at t=0</t>
        </is>
      </c>
      <c r="Y2" s="6" t="inlineStr">
        <is>
          <t>formed in run</t>
        </is>
      </c>
    </row>
    <row r="3">
      <c r="A3" s="7" t="inlineStr">
        <is>
          <t>monoblock-brush-xl</t>
        </is>
      </c>
      <c r="B3" s="7" t="inlineStr">
        <is>
          <t>monoblock</t>
        </is>
      </c>
      <c r="C3" s="7" t="inlineStr">
        <is>
          <t>brush</t>
        </is>
      </c>
      <c r="D3" s="7" t="inlineStr">
        <is>
          <t>on</t>
        </is>
      </c>
      <c r="E3" s="8" t="inlineStr">
        <is>
          <t>BUG-XL-7: diverged, do not use</t>
        </is>
      </c>
      <c r="F3" s="9" t="n">
        <v>1010</v>
      </c>
      <c r="G3" s="9" t="n">
        <v>7000</v>
      </c>
      <c r="H3" s="10">
        <f>IF(F3="","",F3*G3*0.01/1000)</f>
        <v/>
      </c>
      <c r="I3" s="9" t="n">
        <v>16</v>
      </c>
      <c r="J3" s="9" t="n">
        <v>256</v>
      </c>
      <c r="K3" s="9" t="n">
        <v>965</v>
      </c>
      <c r="L3" s="9" t="n">
        <v>5020</v>
      </c>
      <c r="M3" s="11">
        <f>IFERROR(L3/K3,"")</f>
        <v/>
      </c>
      <c r="N3" s="12">
        <f>IFERROR(L3/(K3+L3),"")</f>
        <v/>
      </c>
      <c r="O3" s="13" t="n">
        <v>0.0005</v>
      </c>
      <c r="P3" s="13" t="n">
        <v>0.00016</v>
      </c>
      <c r="Q3" s="11">
        <f>IFERROR(P3/O3,"")</f>
        <v/>
      </c>
      <c r="R3" s="9" t="n">
        <v>123</v>
      </c>
      <c r="S3" s="9" t="n">
        <v>9</v>
      </c>
      <c r="T3" s="9" t="n">
        <v>114</v>
      </c>
      <c r="U3" s="11">
        <f>IFERROR(T3/S3,"")</f>
        <v/>
      </c>
      <c r="V3" s="12">
        <f>IFERROR(T3/R3,"")</f>
        <v/>
      </c>
      <c r="W3" s="9" t="n">
        <v>0</v>
      </c>
      <c r="X3" s="9" t="n">
        <v>0</v>
      </c>
      <c r="Y3" s="9" t="n">
        <v>0</v>
      </c>
    </row>
    <row r="4">
      <c r="A4" s="7" t="inlineStr">
        <is>
          <t>monoblock-free-noxl</t>
        </is>
      </c>
      <c r="B4" s="7" t="inlineStr">
        <is>
          <t>monoblock</t>
        </is>
      </c>
      <c r="C4" s="7" t="inlineStr">
        <is>
          <t>free</t>
        </is>
      </c>
      <c r="D4" s="7" t="inlineStr">
        <is>
          <t>off</t>
        </is>
      </c>
      <c r="E4" s="14" t="inlineStr">
        <is>
          <t>OK</t>
        </is>
      </c>
      <c r="F4" s="9" t="n">
        <v>1010</v>
      </c>
      <c r="G4" s="9" t="n">
        <v>7000</v>
      </c>
      <c r="H4" s="10">
        <f>IF(F4="","",F4*G4*0.01/1000)</f>
        <v/>
      </c>
      <c r="I4" s="9" t="n">
        <v>16</v>
      </c>
      <c r="J4" s="9" t="n">
        <v>256</v>
      </c>
      <c r="K4" s="9" t="n">
        <v>12194</v>
      </c>
      <c r="L4" s="9" t="n">
        <v>16132</v>
      </c>
      <c r="M4" s="11">
        <f>IFERROR(L4/K4,"")</f>
        <v/>
      </c>
      <c r="N4" s="12">
        <f>IFERROR(L4/(K4+L4),"")</f>
        <v/>
      </c>
      <c r="O4" s="13" t="n">
        <v>0.00629</v>
      </c>
      <c r="P4" s="13" t="n">
        <v>0.00052</v>
      </c>
      <c r="Q4" s="11">
        <f>IFERROR(P4/O4,"")</f>
        <v/>
      </c>
      <c r="R4" s="9" t="n">
        <v>0</v>
      </c>
      <c r="S4" s="9" t="n">
        <v>0</v>
      </c>
      <c r="T4" s="9" t="n">
        <v>0</v>
      </c>
      <c r="U4" s="11">
        <f>IFERROR(T4/S4,"")</f>
        <v/>
      </c>
      <c r="V4" s="12">
        <f>IFERROR(T4/R4,"")</f>
        <v/>
      </c>
      <c r="W4" s="9" t="n">
        <v>128</v>
      </c>
      <c r="X4" s="9" t="n">
        <v>16</v>
      </c>
      <c r="Y4" s="9" t="n">
        <v>112</v>
      </c>
    </row>
    <row r="5">
      <c r="A5" s="7" t="inlineStr">
        <is>
          <t>monoblock-free-xl</t>
        </is>
      </c>
      <c r="B5" s="7" t="inlineStr">
        <is>
          <t>monoblock</t>
        </is>
      </c>
      <c r="C5" s="7" t="inlineStr">
        <is>
          <t>free</t>
        </is>
      </c>
      <c r="D5" s="7" t="inlineStr">
        <is>
          <t>on</t>
        </is>
      </c>
      <c r="E5" s="8" t="inlineStr">
        <is>
          <t>not run — no trajectory</t>
        </is>
      </c>
      <c r="F5" s="9" t="n"/>
      <c r="G5" s="9" t="n">
        <v>7000</v>
      </c>
      <c r="H5" s="10">
        <f>IF(F5="","",F5*G5*0.01/1000)</f>
        <v/>
      </c>
      <c r="I5" s="9" t="n">
        <v>16</v>
      </c>
      <c r="J5" s="9" t="n"/>
      <c r="K5" s="9" t="n"/>
      <c r="L5" s="9" t="n"/>
      <c r="M5" s="11">
        <f>IFERROR(L5/K5,"")</f>
        <v/>
      </c>
      <c r="N5" s="12">
        <f>IFERROR(L5/(K5+L5),"")</f>
        <v/>
      </c>
      <c r="O5" s="13" t="n"/>
      <c r="P5" s="13" t="n"/>
      <c r="Q5" s="11">
        <f>IFERROR(P5/O5,"")</f>
        <v/>
      </c>
      <c r="R5" s="9" t="n"/>
      <c r="S5" s="9" t="n"/>
      <c r="T5" s="9" t="n"/>
      <c r="U5" s="11">
        <f>IFERROR(T5/S5,"")</f>
        <v/>
      </c>
      <c r="V5" s="12">
        <f>IFERROR(T5/R5,"")</f>
        <v/>
      </c>
      <c r="W5" s="9" t="n"/>
      <c r="X5" s="9" t="n"/>
      <c r="Y5" s="9" t="n"/>
    </row>
    <row r="6">
      <c r="A6" s="7" t="inlineStr">
        <is>
          <t>monoblock-pre-noxl</t>
        </is>
      </c>
      <c r="B6" s="7" t="inlineStr">
        <is>
          <t>monoblock</t>
        </is>
      </c>
      <c r="C6" s="7" t="inlineStr">
        <is>
          <t>preattached</t>
        </is>
      </c>
      <c r="D6" s="7" t="inlineStr">
        <is>
          <t>off</t>
        </is>
      </c>
      <c r="E6" s="14" t="inlineStr">
        <is>
          <t>OK</t>
        </is>
      </c>
      <c r="F6" s="9" t="n">
        <v>1010</v>
      </c>
      <c r="G6" s="9" t="n">
        <v>7000</v>
      </c>
      <c r="H6" s="10">
        <f>IF(F6="","",F6*G6*0.01/1000)</f>
        <v/>
      </c>
      <c r="I6" s="9" t="n">
        <v>16</v>
      </c>
      <c r="J6" s="9" t="n">
        <v>256</v>
      </c>
      <c r="K6" s="9" t="n">
        <v>48981</v>
      </c>
      <c r="L6" s="9" t="n">
        <v>4352</v>
      </c>
      <c r="M6" s="11">
        <f>IFERROR(L6/K6,"")</f>
        <v/>
      </c>
      <c r="N6" s="12">
        <f>IFERROR(L6/(K6+L6),"")</f>
        <v/>
      </c>
      <c r="O6" s="13" t="n">
        <v>0.02526</v>
      </c>
      <c r="P6" s="13" t="n">
        <v>0.00014</v>
      </c>
      <c r="Q6" s="11">
        <f>IFERROR(P6/O6,"")</f>
        <v/>
      </c>
      <c r="R6" s="9" t="n">
        <v>0</v>
      </c>
      <c r="S6" s="9" t="n">
        <v>0</v>
      </c>
      <c r="T6" s="9" t="n">
        <v>0</v>
      </c>
      <c r="U6" s="11">
        <f>IFERROR(T6/S6,"")</f>
        <v/>
      </c>
      <c r="V6" s="12">
        <f>IFERROR(T6/R6,"")</f>
        <v/>
      </c>
      <c r="W6" s="9" t="n">
        <v>102</v>
      </c>
      <c r="X6" s="9" t="n">
        <v>102</v>
      </c>
      <c r="Y6" s="9" t="n">
        <v>0</v>
      </c>
    </row>
    <row r="7">
      <c r="A7" s="7" t="inlineStr">
        <is>
          <t>monoblock-pre-xl</t>
        </is>
      </c>
      <c r="B7" s="7" t="inlineStr">
        <is>
          <t>monoblock</t>
        </is>
      </c>
      <c r="C7" s="7" t="inlineStr">
        <is>
          <t>preattached</t>
        </is>
      </c>
      <c r="D7" s="7" t="inlineStr">
        <is>
          <t>on</t>
        </is>
      </c>
      <c r="E7" s="8" t="inlineStr">
        <is>
          <t>BUG-XL-7: diverged, do not use</t>
        </is>
      </c>
      <c r="F7" s="9" t="n">
        <v>1010</v>
      </c>
      <c r="G7" s="9" t="n">
        <v>7000</v>
      </c>
      <c r="H7" s="10">
        <f>IF(F7="","",F7*G7*0.01/1000)</f>
        <v/>
      </c>
      <c r="I7" s="9" t="n">
        <v>16</v>
      </c>
      <c r="J7" s="9" t="n">
        <v>256</v>
      </c>
      <c r="K7" s="9" t="n">
        <v>7443</v>
      </c>
      <c r="L7" s="9" t="n">
        <v>5251</v>
      </c>
      <c r="M7" s="11">
        <f>IFERROR(L7/K7,"")</f>
        <v/>
      </c>
      <c r="N7" s="12">
        <f>IFERROR(L7/(K7+L7),"")</f>
        <v/>
      </c>
      <c r="O7" s="13" t="n">
        <v>0.00384</v>
      </c>
      <c r="P7" s="13" t="n">
        <v>0.00017</v>
      </c>
      <c r="Q7" s="11">
        <f>IFERROR(P7/O7,"")</f>
        <v/>
      </c>
      <c r="R7" s="9" t="n">
        <v>75</v>
      </c>
      <c r="S7" s="9" t="n">
        <v>5</v>
      </c>
      <c r="T7" s="9" t="n">
        <v>70</v>
      </c>
      <c r="U7" s="11">
        <f>IFERROR(T7/S7,"")</f>
        <v/>
      </c>
      <c r="V7" s="12">
        <f>IFERROR(T7/R7,"")</f>
        <v/>
      </c>
      <c r="W7" s="9" t="n">
        <v>102</v>
      </c>
      <c r="X7" s="9" t="n">
        <v>102</v>
      </c>
      <c r="Y7" s="9" t="n">
        <v>0</v>
      </c>
    </row>
    <row r="8">
      <c r="A8" s="7" t="inlineStr">
        <is>
          <t>monoblock-test</t>
        </is>
      </c>
      <c r="B8" s="7" t="inlineStr">
        <is>
          <t>monoblock</t>
        </is>
      </c>
      <c r="C8" s="7" t="inlineStr">
        <is>
          <t>brush</t>
        </is>
      </c>
      <c r="D8" s="7" t="inlineStr">
        <is>
          <t>off</t>
        </is>
      </c>
      <c r="E8" s="15" t="inlineStr">
        <is>
          <t>OK — but 500 Å box (top-of-brush artefact)</t>
        </is>
      </c>
      <c r="F8" s="9" t="n">
        <v>1010</v>
      </c>
      <c r="G8" s="9" t="n">
        <v>7000</v>
      </c>
      <c r="H8" s="10">
        <f>IF(F8="","",F8*G8*0.01/1000)</f>
        <v/>
      </c>
      <c r="I8" s="9" t="n">
        <v>16</v>
      </c>
      <c r="J8" s="9" t="n">
        <v>256</v>
      </c>
      <c r="K8" s="9" t="n">
        <v>3424</v>
      </c>
      <c r="L8" s="9" t="n">
        <v>3215</v>
      </c>
      <c r="M8" s="11">
        <f>IFERROR(L8/K8,"")</f>
        <v/>
      </c>
      <c r="N8" s="12">
        <f>IFERROR(L8/(K8+L8),"")</f>
        <v/>
      </c>
      <c r="O8" s="13" t="n">
        <v>0.00177</v>
      </c>
      <c r="P8" s="13" t="n">
        <v>0.0001</v>
      </c>
      <c r="Q8" s="11">
        <f>IFERROR(P8/O8,"")</f>
        <v/>
      </c>
      <c r="R8" s="9" t="n"/>
      <c r="S8" s="9" t="n"/>
      <c r="T8" s="9" t="n"/>
      <c r="U8" s="11">
        <f>IFERROR(T8/S8,"")</f>
        <v/>
      </c>
      <c r="V8" s="12">
        <f>IFERROR(T8/R8,"")</f>
        <v/>
      </c>
      <c r="W8" s="9" t="n"/>
      <c r="X8" s="9" t="n"/>
      <c r="Y8" s="9" t="n"/>
    </row>
    <row r="9">
      <c r="A9" s="7" t="inlineStr">
        <is>
          <t>tetrablock</t>
        </is>
      </c>
      <c r="B9" s="7" t="inlineStr">
        <is>
          <t>tetrablock</t>
        </is>
      </c>
      <c r="C9" s="7" t="inlineStr">
        <is>
          <t>brush</t>
        </is>
      </c>
      <c r="D9" s="7" t="inlineStr">
        <is>
          <t>off</t>
        </is>
      </c>
      <c r="E9" s="15" t="inlineStr">
        <is>
          <t>OK — but 500 Å box (top-of-brush artefact)</t>
        </is>
      </c>
      <c r="F9" s="9" t="n">
        <v>1010</v>
      </c>
      <c r="G9" s="9" t="n">
        <v>7000</v>
      </c>
      <c r="H9" s="10">
        <f>IF(F9="","",F9*G9*0.01/1000)</f>
        <v/>
      </c>
      <c r="I9" s="9" t="n">
        <v>16</v>
      </c>
      <c r="J9" s="9" t="n">
        <v>256</v>
      </c>
      <c r="K9" s="9" t="n">
        <v>3653</v>
      </c>
      <c r="L9" s="9" t="n">
        <v>3056</v>
      </c>
      <c r="M9" s="11">
        <f>IFERROR(L9/K9,"")</f>
        <v/>
      </c>
      <c r="N9" s="12">
        <f>IFERROR(L9/(K9+L9),"")</f>
        <v/>
      </c>
      <c r="O9" s="13" t="n">
        <v>0.00188</v>
      </c>
      <c r="P9" s="13" t="n">
        <v>0.0001</v>
      </c>
      <c r="Q9" s="11">
        <f>IFERROR(P9/O9,"")</f>
        <v/>
      </c>
      <c r="R9" s="9" t="n"/>
      <c r="S9" s="9" t="n"/>
      <c r="T9" s="9" t="n"/>
      <c r="U9" s="11">
        <f>IFERROR(T9/S9,"")</f>
        <v/>
      </c>
      <c r="V9" s="12">
        <f>IFERROR(T9/R9,"")</f>
        <v/>
      </c>
      <c r="W9" s="9" t="n"/>
      <c r="X9" s="9" t="n"/>
      <c r="Y9" s="9" t="n"/>
    </row>
    <row r="10">
      <c r="A10" s="7" t="inlineStr">
        <is>
          <t>tetrablock-brush-xl</t>
        </is>
      </c>
      <c r="B10" s="7" t="inlineStr">
        <is>
          <t>tetrablock</t>
        </is>
      </c>
      <c r="C10" s="7" t="inlineStr">
        <is>
          <t>brush</t>
        </is>
      </c>
      <c r="D10" s="7" t="inlineStr">
        <is>
          <t>on</t>
        </is>
      </c>
      <c r="E10" s="8" t="inlineStr">
        <is>
          <t>BUG-XL-7: diverged, do not use</t>
        </is>
      </c>
      <c r="F10" s="9" t="n">
        <v>986</v>
      </c>
      <c r="G10" s="9" t="n">
        <v>7000</v>
      </c>
      <c r="H10" s="10">
        <f>IF(F10="","",F10*G10*0.01/1000)</f>
        <v/>
      </c>
      <c r="I10" s="9" t="n">
        <v>16</v>
      </c>
      <c r="J10" s="9" t="n">
        <v>256</v>
      </c>
      <c r="K10" s="9" t="n">
        <v>882</v>
      </c>
      <c r="L10" s="9" t="n">
        <v>3716</v>
      </c>
      <c r="M10" s="11">
        <f>IFERROR(L10/K10,"")</f>
        <v/>
      </c>
      <c r="N10" s="12">
        <f>IFERROR(L10/(K10+L10),"")</f>
        <v/>
      </c>
      <c r="O10" s="13" t="n">
        <v>0.00047</v>
      </c>
      <c r="P10" s="13" t="n">
        <v>0.00012</v>
      </c>
      <c r="Q10" s="11">
        <f>IFERROR(P10/O10,"")</f>
        <v/>
      </c>
      <c r="R10" s="9" t="n">
        <v>127</v>
      </c>
      <c r="S10" s="9" t="n">
        <v>7</v>
      </c>
      <c r="T10" s="9" t="n">
        <v>120</v>
      </c>
      <c r="U10" s="11">
        <f>IFERROR(T10/S10,"")</f>
        <v/>
      </c>
      <c r="V10" s="12">
        <f>IFERROR(T10/R10,"")</f>
        <v/>
      </c>
      <c r="W10" s="9" t="n">
        <v>0</v>
      </c>
      <c r="X10" s="9" t="n">
        <v>0</v>
      </c>
      <c r="Y10" s="9" t="n">
        <v>0</v>
      </c>
    </row>
    <row r="11">
      <c r="A11" s="7" t="inlineStr">
        <is>
          <t>tetrablock-free-noxl</t>
        </is>
      </c>
      <c r="B11" s="7" t="inlineStr">
        <is>
          <t>tetrablock</t>
        </is>
      </c>
      <c r="C11" s="7" t="inlineStr">
        <is>
          <t>free</t>
        </is>
      </c>
      <c r="D11" s="7" t="inlineStr">
        <is>
          <t>off</t>
        </is>
      </c>
      <c r="E11" s="14" t="inlineStr">
        <is>
          <t>OK</t>
        </is>
      </c>
      <c r="F11" s="9" t="n">
        <v>1010</v>
      </c>
      <c r="G11" s="9" t="n">
        <v>7000</v>
      </c>
      <c r="H11" s="10">
        <f>IF(F11="","",F11*G11*0.01/1000)</f>
        <v/>
      </c>
      <c r="I11" s="9" t="n">
        <v>16</v>
      </c>
      <c r="J11" s="9" t="n">
        <v>256</v>
      </c>
      <c r="K11" s="9" t="n">
        <v>12719</v>
      </c>
      <c r="L11" s="9" t="n">
        <v>21217</v>
      </c>
      <c r="M11" s="11">
        <f>IFERROR(L11/K11,"")</f>
        <v/>
      </c>
      <c r="N11" s="12">
        <f>IFERROR(L11/(K11+L11),"")</f>
        <v/>
      </c>
      <c r="O11" s="13" t="n">
        <v>0.00656</v>
      </c>
      <c r="P11" s="13" t="n">
        <v>0.00068</v>
      </c>
      <c r="Q11" s="11">
        <f>IFERROR(P11/O11,"")</f>
        <v/>
      </c>
      <c r="R11" s="9" t="n">
        <v>0</v>
      </c>
      <c r="S11" s="9" t="n">
        <v>0</v>
      </c>
      <c r="T11" s="9" t="n">
        <v>0</v>
      </c>
      <c r="U11" s="11">
        <f>IFERROR(T11/S11,"")</f>
        <v/>
      </c>
      <c r="V11" s="12">
        <f>IFERROR(T11/R11,"")</f>
        <v/>
      </c>
      <c r="W11" s="9" t="n">
        <v>128</v>
      </c>
      <c r="X11" s="9" t="n">
        <v>16</v>
      </c>
      <c r="Y11" s="9" t="n">
        <v>112</v>
      </c>
    </row>
    <row r="12">
      <c r="A12" s="7" t="inlineStr">
        <is>
          <t>tetrablock-free-xl</t>
        </is>
      </c>
      <c r="B12" s="7" t="inlineStr">
        <is>
          <t>tetrablock</t>
        </is>
      </c>
      <c r="C12" s="7" t="inlineStr">
        <is>
          <t>free</t>
        </is>
      </c>
      <c r="D12" s="7" t="inlineStr">
        <is>
          <t>on</t>
        </is>
      </c>
      <c r="E12" s="8" t="inlineStr">
        <is>
          <t>BUG-XL-7: diverged, do not use</t>
        </is>
      </c>
      <c r="F12" s="9" t="n">
        <v>991</v>
      </c>
      <c r="G12" s="9" t="n">
        <v>7000</v>
      </c>
      <c r="H12" s="10">
        <f>IF(F12="","",F12*G12*0.01/1000)</f>
        <v/>
      </c>
      <c r="I12" s="9" t="n">
        <v>16</v>
      </c>
      <c r="J12" s="9" t="n">
        <v>256</v>
      </c>
      <c r="K12" s="9" t="n">
        <v>787</v>
      </c>
      <c r="L12" s="9" t="n">
        <v>3538</v>
      </c>
      <c r="M12" s="11">
        <f>IFERROR(L12/K12,"")</f>
        <v/>
      </c>
      <c r="N12" s="12">
        <f>IFERROR(L12/(K12+L12),"")</f>
        <v/>
      </c>
      <c r="O12" s="13" t="n">
        <v>0.00041</v>
      </c>
      <c r="P12" s="13" t="n">
        <v>0.00012</v>
      </c>
      <c r="Q12" s="11">
        <f>IFERROR(P12/O12,"")</f>
        <v/>
      </c>
      <c r="R12" s="9" t="n">
        <v>112</v>
      </c>
      <c r="S12" s="9" t="n">
        <v>10</v>
      </c>
      <c r="T12" s="9" t="n">
        <v>102</v>
      </c>
      <c r="U12" s="11">
        <f>IFERROR(T12/S12,"")</f>
        <v/>
      </c>
      <c r="V12" s="12">
        <f>IFERROR(T12/R12,"")</f>
        <v/>
      </c>
      <c r="W12" s="9" t="n">
        <v>30</v>
      </c>
      <c r="X12" s="9" t="n">
        <v>16</v>
      </c>
      <c r="Y12" s="9" t="n">
        <v>14</v>
      </c>
    </row>
    <row r="13">
      <c r="A13" s="7" t="inlineStr">
        <is>
          <t>tetrablock-pre-noxl</t>
        </is>
      </c>
      <c r="B13" s="7" t="inlineStr">
        <is>
          <t>tetrablock</t>
        </is>
      </c>
      <c r="C13" s="7" t="inlineStr">
        <is>
          <t>preattached</t>
        </is>
      </c>
      <c r="D13" s="7" t="inlineStr">
        <is>
          <t>off</t>
        </is>
      </c>
      <c r="E13" s="14" t="inlineStr">
        <is>
          <t>OK</t>
        </is>
      </c>
      <c r="F13" s="9" t="n">
        <v>1010</v>
      </c>
      <c r="G13" s="9" t="n">
        <v>7000</v>
      </c>
      <c r="H13" s="10">
        <f>IF(F13="","",F13*G13*0.01/1000)</f>
        <v/>
      </c>
      <c r="I13" s="9" t="n">
        <v>16</v>
      </c>
      <c r="J13" s="9" t="n">
        <v>256</v>
      </c>
      <c r="K13" s="9" t="n">
        <v>44631</v>
      </c>
      <c r="L13" s="9" t="n">
        <v>3197</v>
      </c>
      <c r="M13" s="11">
        <f>IFERROR(L13/K13,"")</f>
        <v/>
      </c>
      <c r="N13" s="12">
        <f>IFERROR(L13/(K13+L13),"")</f>
        <v/>
      </c>
      <c r="O13" s="13" t="n">
        <v>0.02302</v>
      </c>
      <c r="P13" s="13" t="n">
        <v>0.0001</v>
      </c>
      <c r="Q13" s="11">
        <f>IFERROR(P13/O13,"")</f>
        <v/>
      </c>
      <c r="R13" s="9" t="n">
        <v>0</v>
      </c>
      <c r="S13" s="9" t="n">
        <v>0</v>
      </c>
      <c r="T13" s="9" t="n">
        <v>0</v>
      </c>
      <c r="U13" s="11">
        <f>IFERROR(T13/S13,"")</f>
        <v/>
      </c>
      <c r="V13" s="12">
        <f>IFERROR(T13/R13,"")</f>
        <v/>
      </c>
      <c r="W13" s="9" t="n">
        <v>102</v>
      </c>
      <c r="X13" s="9" t="n">
        <v>102</v>
      </c>
      <c r="Y13" s="9" t="n">
        <v>0</v>
      </c>
    </row>
    <row r="14">
      <c r="A14" s="7" t="inlineStr">
        <is>
          <t>tetrablock-pre-xl</t>
        </is>
      </c>
      <c r="B14" s="7" t="inlineStr">
        <is>
          <t>tetrablock</t>
        </is>
      </c>
      <c r="C14" s="7" t="inlineStr">
        <is>
          <t>preattached</t>
        </is>
      </c>
      <c r="D14" s="7" t="inlineStr">
        <is>
          <t>on</t>
        </is>
      </c>
      <c r="E14" s="8" t="inlineStr">
        <is>
          <t>BUG-XL-7: diverged, do not use</t>
        </is>
      </c>
      <c r="F14" s="9" t="n">
        <v>1007</v>
      </c>
      <c r="G14" s="9" t="n">
        <v>7000</v>
      </c>
      <c r="H14" s="10">
        <f>IF(F14="","",F14*G14*0.01/1000)</f>
        <v/>
      </c>
      <c r="I14" s="9" t="n">
        <v>16</v>
      </c>
      <c r="J14" s="9" t="n">
        <v>256</v>
      </c>
      <c r="K14" s="9" t="n">
        <v>8107</v>
      </c>
      <c r="L14" s="9" t="n">
        <v>3564</v>
      </c>
      <c r="M14" s="11">
        <f>IFERROR(L14/K14,"")</f>
        <v/>
      </c>
      <c r="N14" s="12">
        <f>IFERROR(L14/(K14+L14),"")</f>
        <v/>
      </c>
      <c r="O14" s="13" t="n">
        <v>0.00419</v>
      </c>
      <c r="P14" s="13" t="n">
        <v>0.00012</v>
      </c>
      <c r="Q14" s="11">
        <f>IFERROR(P14/O14,"")</f>
        <v/>
      </c>
      <c r="R14" s="9" t="n">
        <v>76</v>
      </c>
      <c r="S14" s="9" t="n">
        <v>19</v>
      </c>
      <c r="T14" s="9" t="n">
        <v>57</v>
      </c>
      <c r="U14" s="11">
        <f>IFERROR(T14/S14,"")</f>
        <v/>
      </c>
      <c r="V14" s="12">
        <f>IFERROR(T14/R14,"")</f>
        <v/>
      </c>
      <c r="W14" s="9" t="n">
        <v>102</v>
      </c>
      <c r="X14" s="9" t="n">
        <v>102</v>
      </c>
      <c r="Y14" s="9" t="n">
        <v>0</v>
      </c>
    </row>
    <row r="15">
      <c r="A15" s="7" t="inlineStr">
        <is>
          <t>triblock-32-brush-xl</t>
        </is>
      </c>
      <c r="B15" s="7" t="inlineStr">
        <is>
          <t>triblock-32</t>
        </is>
      </c>
      <c r="C15" s="7" t="inlineStr">
        <is>
          <t>brush</t>
        </is>
      </c>
      <c r="D15" s="7" t="inlineStr">
        <is>
          <t>on</t>
        </is>
      </c>
      <c r="E15" s="8" t="inlineStr">
        <is>
          <t>BUG-XL-7: diverged, do not use</t>
        </is>
      </c>
      <c r="F15" s="9" t="n">
        <v>1010</v>
      </c>
      <c r="G15" s="9" t="n">
        <v>7000</v>
      </c>
      <c r="H15" s="10">
        <f>IF(F15="","",F15*G15*0.01/1000)</f>
        <v/>
      </c>
      <c r="I15" s="9" t="n">
        <v>16</v>
      </c>
      <c r="J15" s="9" t="n">
        <v>256</v>
      </c>
      <c r="K15" s="9" t="n">
        <v>902</v>
      </c>
      <c r="L15" s="9" t="n">
        <v>4335</v>
      </c>
      <c r="M15" s="11">
        <f>IFERROR(L15/K15,"")</f>
        <v/>
      </c>
      <c r="N15" s="12">
        <f>IFERROR(L15/(K15+L15),"")</f>
        <v/>
      </c>
      <c r="O15" s="13" t="n">
        <v>0.00047</v>
      </c>
      <c r="P15" s="13" t="n">
        <v>0.00014</v>
      </c>
      <c r="Q15" s="11">
        <f>IFERROR(P15/O15,"")</f>
        <v/>
      </c>
      <c r="R15" s="9" t="n">
        <v>125</v>
      </c>
      <c r="S15" s="9" t="n">
        <v>17</v>
      </c>
      <c r="T15" s="9" t="n">
        <v>108</v>
      </c>
      <c r="U15" s="11">
        <f>IFERROR(T15/S15,"")</f>
        <v/>
      </c>
      <c r="V15" s="12">
        <f>IFERROR(T15/R15,"")</f>
        <v/>
      </c>
      <c r="W15" s="9" t="n">
        <v>0</v>
      </c>
      <c r="X15" s="9" t="n">
        <v>0</v>
      </c>
      <c r="Y15" s="9" t="n">
        <v>0</v>
      </c>
    </row>
    <row r="16">
      <c r="A16" s="7" t="inlineStr">
        <is>
          <t>triblock-32-free-noxl</t>
        </is>
      </c>
      <c r="B16" s="7" t="inlineStr">
        <is>
          <t>triblock-32</t>
        </is>
      </c>
      <c r="C16" s="7" t="inlineStr">
        <is>
          <t>free</t>
        </is>
      </c>
      <c r="D16" s="7" t="inlineStr">
        <is>
          <t>off</t>
        </is>
      </c>
      <c r="E16" s="14" t="inlineStr">
        <is>
          <t>OK</t>
        </is>
      </c>
      <c r="F16" s="9" t="n">
        <v>1010</v>
      </c>
      <c r="G16" s="9" t="n">
        <v>7000</v>
      </c>
      <c r="H16" s="10">
        <f>IF(F16="","",F16*G16*0.01/1000)</f>
        <v/>
      </c>
      <c r="I16" s="9" t="n">
        <v>16</v>
      </c>
      <c r="J16" s="9" t="n">
        <v>256</v>
      </c>
      <c r="K16" s="9" t="n">
        <v>12369</v>
      </c>
      <c r="L16" s="9" t="n">
        <v>21906</v>
      </c>
      <c r="M16" s="11">
        <f>IFERROR(L16/K16,"")</f>
        <v/>
      </c>
      <c r="N16" s="12">
        <f>IFERROR(L16/(K16+L16),"")</f>
        <v/>
      </c>
      <c r="O16" s="13" t="n">
        <v>0.00638</v>
      </c>
      <c r="P16" s="13" t="n">
        <v>0.00071</v>
      </c>
      <c r="Q16" s="11">
        <f>IFERROR(P16/O16,"")</f>
        <v/>
      </c>
      <c r="R16" s="9" t="n">
        <v>0</v>
      </c>
      <c r="S16" s="9" t="n">
        <v>0</v>
      </c>
      <c r="T16" s="9" t="n">
        <v>0</v>
      </c>
      <c r="U16" s="11">
        <f>IFERROR(T16/S16,"")</f>
        <v/>
      </c>
      <c r="V16" s="12">
        <f>IFERROR(T16/R16,"")</f>
        <v/>
      </c>
      <c r="W16" s="9" t="n">
        <v>128</v>
      </c>
      <c r="X16" s="9" t="n">
        <v>16</v>
      </c>
      <c r="Y16" s="9" t="n">
        <v>112</v>
      </c>
    </row>
    <row r="17">
      <c r="A17" s="7" t="inlineStr">
        <is>
          <t>triblock-32-free-xl</t>
        </is>
      </c>
      <c r="B17" s="7" t="inlineStr">
        <is>
          <t>triblock-32</t>
        </is>
      </c>
      <c r="C17" s="7" t="inlineStr">
        <is>
          <t>free</t>
        </is>
      </c>
      <c r="D17" s="7" t="inlineStr">
        <is>
          <t>on</t>
        </is>
      </c>
      <c r="E17" s="8" t="inlineStr">
        <is>
          <t>BUG-XL-7: diverged, do not use</t>
        </is>
      </c>
      <c r="F17" s="9" t="n">
        <v>1010</v>
      </c>
      <c r="G17" s="9" t="n">
        <v>7000</v>
      </c>
      <c r="H17" s="10">
        <f>IF(F17="","",F17*G17*0.01/1000)</f>
        <v/>
      </c>
      <c r="I17" s="9" t="n">
        <v>16</v>
      </c>
      <c r="J17" s="9" t="n">
        <v>256</v>
      </c>
      <c r="K17" s="9" t="n">
        <v>802</v>
      </c>
      <c r="L17" s="9" t="n">
        <v>4316</v>
      </c>
      <c r="M17" s="11">
        <f>IFERROR(L17/K17,"")</f>
        <v/>
      </c>
      <c r="N17" s="12">
        <f>IFERROR(L17/(K17+L17),"")</f>
        <v/>
      </c>
      <c r="O17" s="13" t="n">
        <v>0.00041</v>
      </c>
      <c r="P17" s="13" t="n">
        <v>0.00014</v>
      </c>
      <c r="Q17" s="11">
        <f>IFERROR(P17/O17,"")</f>
        <v/>
      </c>
      <c r="R17" s="9" t="n">
        <v>105</v>
      </c>
      <c r="S17" s="9" t="n">
        <v>5</v>
      </c>
      <c r="T17" s="9" t="n">
        <v>100</v>
      </c>
      <c r="U17" s="11">
        <f>IFERROR(T17/S17,"")</f>
        <v/>
      </c>
      <c r="V17" s="12">
        <f>IFERROR(T17/R17,"")</f>
        <v/>
      </c>
      <c r="W17" s="9" t="n">
        <v>32</v>
      </c>
      <c r="X17" s="9" t="n">
        <v>16</v>
      </c>
      <c r="Y17" s="9" t="n">
        <v>16</v>
      </c>
    </row>
    <row r="18">
      <c r="A18" s="7" t="inlineStr">
        <is>
          <t>triblock-32-pre-noxl</t>
        </is>
      </c>
      <c r="B18" s="7" t="inlineStr">
        <is>
          <t>triblock-32</t>
        </is>
      </c>
      <c r="C18" s="7" t="inlineStr">
        <is>
          <t>preattached</t>
        </is>
      </c>
      <c r="D18" s="7" t="inlineStr">
        <is>
          <t>off</t>
        </is>
      </c>
      <c r="E18" s="14" t="inlineStr">
        <is>
          <t>OK</t>
        </is>
      </c>
      <c r="F18" s="9" t="n">
        <v>1010</v>
      </c>
      <c r="G18" s="9" t="n">
        <v>7000</v>
      </c>
      <c r="H18" s="10">
        <f>IF(F18="","",F18*G18*0.01/1000)</f>
        <v/>
      </c>
      <c r="I18" s="9" t="n">
        <v>16</v>
      </c>
      <c r="J18" s="9" t="n">
        <v>256</v>
      </c>
      <c r="K18" s="9" t="n">
        <v>52359</v>
      </c>
      <c r="L18" s="9" t="n">
        <v>4351</v>
      </c>
      <c r="M18" s="11">
        <f>IFERROR(L18/K18,"")</f>
        <v/>
      </c>
      <c r="N18" s="12">
        <f>IFERROR(L18/(K18+L18),"")</f>
        <v/>
      </c>
      <c r="O18" s="13" t="n">
        <v>0.027</v>
      </c>
      <c r="P18" s="13" t="n">
        <v>0.00014</v>
      </c>
      <c r="Q18" s="11">
        <f>IFERROR(P18/O18,"")</f>
        <v/>
      </c>
      <c r="R18" s="9" t="n">
        <v>0</v>
      </c>
      <c r="S18" s="9" t="n">
        <v>0</v>
      </c>
      <c r="T18" s="9" t="n">
        <v>0</v>
      </c>
      <c r="U18" s="11">
        <f>IFERROR(T18/S18,"")</f>
        <v/>
      </c>
      <c r="V18" s="12">
        <f>IFERROR(T18/R18,"")</f>
        <v/>
      </c>
      <c r="W18" s="9" t="n">
        <v>102</v>
      </c>
      <c r="X18" s="9" t="n">
        <v>102</v>
      </c>
      <c r="Y18" s="9" t="n">
        <v>0</v>
      </c>
    </row>
    <row r="19">
      <c r="A19" s="7" t="inlineStr">
        <is>
          <t>triblock-32-pre-xl</t>
        </is>
      </c>
      <c r="B19" s="7" t="inlineStr">
        <is>
          <t>triblock-32</t>
        </is>
      </c>
      <c r="C19" s="7" t="inlineStr">
        <is>
          <t>preattached</t>
        </is>
      </c>
      <c r="D19" s="7" t="inlineStr">
        <is>
          <t>on</t>
        </is>
      </c>
      <c r="E19" s="8" t="inlineStr">
        <is>
          <t>BUG-XL-7: diverged, do not use</t>
        </is>
      </c>
      <c r="F19" s="9" t="n">
        <v>1010</v>
      </c>
      <c r="G19" s="9" t="n">
        <v>7000</v>
      </c>
      <c r="H19" s="10">
        <f>IF(F19="","",F19*G19*0.01/1000)</f>
        <v/>
      </c>
      <c r="I19" s="9" t="n">
        <v>16</v>
      </c>
      <c r="J19" s="9" t="n">
        <v>256</v>
      </c>
      <c r="K19" s="9" t="n">
        <v>7240</v>
      </c>
      <c r="L19" s="9" t="n">
        <v>4179</v>
      </c>
      <c r="M19" s="11">
        <f>IFERROR(L19/K19,"")</f>
        <v/>
      </c>
      <c r="N19" s="12">
        <f>IFERROR(L19/(K19+L19),"")</f>
        <v/>
      </c>
      <c r="O19" s="13" t="n">
        <v>0.00373</v>
      </c>
      <c r="P19" s="13" t="n">
        <v>0.00013</v>
      </c>
      <c r="Q19" s="11">
        <f>IFERROR(P19/O19,"")</f>
        <v/>
      </c>
      <c r="R19" s="9" t="n">
        <v>74</v>
      </c>
      <c r="S19" s="9" t="n">
        <v>5</v>
      </c>
      <c r="T19" s="9" t="n">
        <v>69</v>
      </c>
      <c r="U19" s="11">
        <f>IFERROR(T19/S19,"")</f>
        <v/>
      </c>
      <c r="V19" s="12">
        <f>IFERROR(T19/R19,"")</f>
        <v/>
      </c>
      <c r="W19" s="9" t="n">
        <v>102</v>
      </c>
      <c r="X19" s="9" t="n">
        <v>102</v>
      </c>
      <c r="Y19" s="9" t="n">
        <v>0</v>
      </c>
    </row>
    <row r="20">
      <c r="A20" s="7" t="inlineStr">
        <is>
          <t>triblock-32-test</t>
        </is>
      </c>
      <c r="B20" s="7" t="inlineStr">
        <is>
          <t>triblock-32</t>
        </is>
      </c>
      <c r="C20" s="7" t="inlineStr">
        <is>
          <t>brush</t>
        </is>
      </c>
      <c r="D20" s="7" t="inlineStr">
        <is>
          <t>off</t>
        </is>
      </c>
      <c r="E20" s="15" t="inlineStr">
        <is>
          <t>OK — but 500 Å box (top-of-brush artefact)</t>
        </is>
      </c>
      <c r="F20" s="9" t="n">
        <v>1010</v>
      </c>
      <c r="G20" s="9" t="n">
        <v>7000</v>
      </c>
      <c r="H20" s="10">
        <f>IF(F20="","",F20*G20*0.01/1000)</f>
        <v/>
      </c>
      <c r="I20" s="9" t="n">
        <v>16</v>
      </c>
      <c r="J20" s="9" t="n">
        <v>256</v>
      </c>
      <c r="K20" s="9" t="n">
        <v>3093</v>
      </c>
      <c r="L20" s="9" t="n">
        <v>2879</v>
      </c>
      <c r="M20" s="11">
        <f>IFERROR(L20/K20,"")</f>
        <v/>
      </c>
      <c r="N20" s="12">
        <f>IFERROR(L20/(K20+L20),"")</f>
        <v/>
      </c>
      <c r="O20" s="13" t="n">
        <v>0.00159</v>
      </c>
      <c r="P20" s="13" t="n">
        <v>9.000000000000001e-05</v>
      </c>
      <c r="Q20" s="11">
        <f>IFERROR(P20/O20,"")</f>
        <v/>
      </c>
      <c r="R20" s="9" t="n"/>
      <c r="S20" s="9" t="n"/>
      <c r="T20" s="9" t="n"/>
      <c r="U20" s="11">
        <f>IFERROR(T20/S20,"")</f>
        <v/>
      </c>
      <c r="V20" s="12">
        <f>IFERROR(T20/R20,"")</f>
        <v/>
      </c>
      <c r="W20" s="9" t="n"/>
      <c r="X20" s="9" t="n"/>
      <c r="Y20" s="9" t="n"/>
    </row>
    <row r="21">
      <c r="A21" s="7" t="inlineStr">
        <is>
          <t>triblock-64-brush-xl</t>
        </is>
      </c>
      <c r="B21" s="7" t="inlineStr">
        <is>
          <t>triblock-64</t>
        </is>
      </c>
      <c r="C21" s="7" t="inlineStr">
        <is>
          <t>brush</t>
        </is>
      </c>
      <c r="D21" s="7" t="inlineStr">
        <is>
          <t>on</t>
        </is>
      </c>
      <c r="E21" s="8" t="inlineStr">
        <is>
          <t>BUG-XL-7: diverged, do not use</t>
        </is>
      </c>
      <c r="F21" s="9" t="n">
        <v>987</v>
      </c>
      <c r="G21" s="9" t="n">
        <v>7000</v>
      </c>
      <c r="H21" s="10">
        <f>IF(F21="","",F21*G21*0.01/1000)</f>
        <v/>
      </c>
      <c r="I21" s="9" t="n">
        <v>16</v>
      </c>
      <c r="J21" s="9" t="n">
        <v>256</v>
      </c>
      <c r="K21" s="9" t="n">
        <v>822</v>
      </c>
      <c r="L21" s="9" t="n">
        <v>3640</v>
      </c>
      <c r="M21" s="11">
        <f>IFERROR(L21/K21,"")</f>
        <v/>
      </c>
      <c r="N21" s="12">
        <f>IFERROR(L21/(K21+L21),"")</f>
        <v/>
      </c>
      <c r="O21" s="13" t="n">
        <v>0.00043</v>
      </c>
      <c r="P21" s="13" t="n">
        <v>0.00012</v>
      </c>
      <c r="Q21" s="11">
        <f>IFERROR(P21/O21,"")</f>
        <v/>
      </c>
      <c r="R21" s="9" t="n">
        <v>127</v>
      </c>
      <c r="S21" s="9" t="n">
        <v>9</v>
      </c>
      <c r="T21" s="9" t="n">
        <v>118</v>
      </c>
      <c r="U21" s="11">
        <f>IFERROR(T21/S21,"")</f>
        <v/>
      </c>
      <c r="V21" s="12">
        <f>IFERROR(T21/R21,"")</f>
        <v/>
      </c>
      <c r="W21" s="9" t="n">
        <v>0</v>
      </c>
      <c r="X21" s="9" t="n">
        <v>0</v>
      </c>
      <c r="Y21" s="9" t="n">
        <v>0</v>
      </c>
    </row>
    <row r="22">
      <c r="A22" s="7" t="inlineStr">
        <is>
          <t>triblock-64-free-noxl</t>
        </is>
      </c>
      <c r="B22" s="7" t="inlineStr">
        <is>
          <t>triblock-64</t>
        </is>
      </c>
      <c r="C22" s="7" t="inlineStr">
        <is>
          <t>free</t>
        </is>
      </c>
      <c r="D22" s="7" t="inlineStr">
        <is>
          <t>off</t>
        </is>
      </c>
      <c r="E22" s="14" t="inlineStr">
        <is>
          <t>OK</t>
        </is>
      </c>
      <c r="F22" s="9" t="n">
        <v>1010</v>
      </c>
      <c r="G22" s="9" t="n">
        <v>7000</v>
      </c>
      <c r="H22" s="10">
        <f>IF(F22="","",F22*G22*0.01/1000)</f>
        <v/>
      </c>
      <c r="I22" s="9" t="n">
        <v>16</v>
      </c>
      <c r="J22" s="9" t="n">
        <v>256</v>
      </c>
      <c r="K22" s="9" t="n">
        <v>16961</v>
      </c>
      <c r="L22" s="9" t="n">
        <v>17136</v>
      </c>
      <c r="M22" s="11">
        <f>IFERROR(L22/K22,"")</f>
        <v/>
      </c>
      <c r="N22" s="12">
        <f>IFERROR(L22/(K22+L22),"")</f>
        <v/>
      </c>
      <c r="O22" s="13" t="n">
        <v>0.008750000000000001</v>
      </c>
      <c r="P22" s="13" t="n">
        <v>0.00055</v>
      </c>
      <c r="Q22" s="11">
        <f>IFERROR(P22/O22,"")</f>
        <v/>
      </c>
      <c r="R22" s="9" t="n">
        <v>0</v>
      </c>
      <c r="S22" s="9" t="n">
        <v>0</v>
      </c>
      <c r="T22" s="9" t="n">
        <v>0</v>
      </c>
      <c r="U22" s="11">
        <f>IFERROR(T22/S22,"")</f>
        <v/>
      </c>
      <c r="V22" s="12">
        <f>IFERROR(T22/R22,"")</f>
        <v/>
      </c>
      <c r="W22" s="9" t="n">
        <v>128</v>
      </c>
      <c r="X22" s="9" t="n">
        <v>16</v>
      </c>
      <c r="Y22" s="9" t="n">
        <v>112</v>
      </c>
    </row>
    <row r="23">
      <c r="A23" s="7" t="inlineStr">
        <is>
          <t>triblock-64-free-xl</t>
        </is>
      </c>
      <c r="B23" s="7" t="inlineStr">
        <is>
          <t>triblock-64</t>
        </is>
      </c>
      <c r="C23" s="7" t="inlineStr">
        <is>
          <t>free</t>
        </is>
      </c>
      <c r="D23" s="7" t="inlineStr">
        <is>
          <t>on</t>
        </is>
      </c>
      <c r="E23" s="8" t="inlineStr">
        <is>
          <t>BUG-XL-7: diverged, do not use</t>
        </is>
      </c>
      <c r="F23" s="9" t="n">
        <v>987</v>
      </c>
      <c r="G23" s="9" t="n">
        <v>7000</v>
      </c>
      <c r="H23" s="10">
        <f>IF(F23="","",F23*G23*0.01/1000)</f>
        <v/>
      </c>
      <c r="I23" s="9" t="n">
        <v>16</v>
      </c>
      <c r="J23" s="9" t="n">
        <v>256</v>
      </c>
      <c r="K23" s="9" t="n">
        <v>781</v>
      </c>
      <c r="L23" s="9" t="n">
        <v>3503</v>
      </c>
      <c r="M23" s="11">
        <f>IFERROR(L23/K23,"")</f>
        <v/>
      </c>
      <c r="N23" s="12">
        <f>IFERROR(L23/(K23+L23),"")</f>
        <v/>
      </c>
      <c r="O23" s="13" t="n">
        <v>0.00041</v>
      </c>
      <c r="P23" s="13" t="n">
        <v>0.00012</v>
      </c>
      <c r="Q23" s="11">
        <f>IFERROR(P23/O23,"")</f>
        <v/>
      </c>
      <c r="R23" s="9" t="n">
        <v>114</v>
      </c>
      <c r="S23" s="9" t="n">
        <v>10</v>
      </c>
      <c r="T23" s="9" t="n">
        <v>104</v>
      </c>
      <c r="U23" s="11">
        <f>IFERROR(T23/S23,"")</f>
        <v/>
      </c>
      <c r="V23" s="12">
        <f>IFERROR(T23/R23,"")</f>
        <v/>
      </c>
      <c r="W23" s="9" t="n">
        <v>27</v>
      </c>
      <c r="X23" s="9" t="n">
        <v>16</v>
      </c>
      <c r="Y23" s="9" t="n">
        <v>11</v>
      </c>
    </row>
    <row r="24">
      <c r="A24" s="7" t="inlineStr">
        <is>
          <t>triblock-64-pre-noxl</t>
        </is>
      </c>
      <c r="B24" s="7" t="inlineStr">
        <is>
          <t>triblock-64</t>
        </is>
      </c>
      <c r="C24" s="7" t="inlineStr">
        <is>
          <t>preattached</t>
        </is>
      </c>
      <c r="D24" s="7" t="inlineStr">
        <is>
          <t>off</t>
        </is>
      </c>
      <c r="E24" s="14" t="inlineStr">
        <is>
          <t>OK</t>
        </is>
      </c>
      <c r="F24" s="9" t="n">
        <v>1010</v>
      </c>
      <c r="G24" s="9" t="n">
        <v>7000</v>
      </c>
      <c r="H24" s="10">
        <f>IF(F24="","",F24*G24*0.01/1000)</f>
        <v/>
      </c>
      <c r="I24" s="9" t="n">
        <v>16</v>
      </c>
      <c r="J24" s="9" t="n">
        <v>256</v>
      </c>
      <c r="K24" s="9" t="n">
        <v>46277</v>
      </c>
      <c r="L24" s="9" t="n">
        <v>4440</v>
      </c>
      <c r="M24" s="11">
        <f>IFERROR(L24/K24,"")</f>
        <v/>
      </c>
      <c r="N24" s="12">
        <f>IFERROR(L24/(K24+L24),"")</f>
        <v/>
      </c>
      <c r="O24" s="13" t="n">
        <v>0.02386</v>
      </c>
      <c r="P24" s="13" t="n">
        <v>0.00014</v>
      </c>
      <c r="Q24" s="11">
        <f>IFERROR(P24/O24,"")</f>
        <v/>
      </c>
      <c r="R24" s="9" t="n">
        <v>0</v>
      </c>
      <c r="S24" s="9" t="n">
        <v>0</v>
      </c>
      <c r="T24" s="9" t="n">
        <v>0</v>
      </c>
      <c r="U24" s="11">
        <f>IFERROR(T24/S24,"")</f>
        <v/>
      </c>
      <c r="V24" s="12">
        <f>IFERROR(T24/R24,"")</f>
        <v/>
      </c>
      <c r="W24" s="9" t="n">
        <v>102</v>
      </c>
      <c r="X24" s="9" t="n">
        <v>102</v>
      </c>
      <c r="Y24" s="9" t="n">
        <v>0</v>
      </c>
    </row>
    <row r="25">
      <c r="A25" s="7" t="inlineStr">
        <is>
          <t>triblock-64-pre-xl</t>
        </is>
      </c>
      <c r="B25" s="7" t="inlineStr">
        <is>
          <t>triblock-64</t>
        </is>
      </c>
      <c r="C25" s="7" t="inlineStr">
        <is>
          <t>preattached</t>
        </is>
      </c>
      <c r="D25" s="7" t="inlineStr">
        <is>
          <t>on</t>
        </is>
      </c>
      <c r="E25" s="8" t="inlineStr">
        <is>
          <t>BUG-XL-7: diverged, do not use</t>
        </is>
      </c>
      <c r="F25" s="9" t="n">
        <v>994</v>
      </c>
      <c r="G25" s="9" t="n">
        <v>7000</v>
      </c>
      <c r="H25" s="10">
        <f>IF(F25="","",F25*G25*0.01/1000)</f>
        <v/>
      </c>
      <c r="I25" s="9" t="n">
        <v>16</v>
      </c>
      <c r="J25" s="9" t="n">
        <v>256</v>
      </c>
      <c r="K25" s="9" t="n">
        <v>6643</v>
      </c>
      <c r="L25" s="9" t="n">
        <v>3638</v>
      </c>
      <c r="M25" s="11">
        <f>IFERROR(L25/K25,"")</f>
        <v/>
      </c>
      <c r="N25" s="12">
        <f>IFERROR(L25/(K25+L25),"")</f>
        <v/>
      </c>
      <c r="O25" s="13" t="n">
        <v>0.00348</v>
      </c>
      <c r="P25" s="13" t="n">
        <v>0.00012</v>
      </c>
      <c r="Q25" s="11">
        <f>IFERROR(P25/O25,"")</f>
        <v/>
      </c>
      <c r="R25" s="9" t="n">
        <v>77</v>
      </c>
      <c r="S25" s="9" t="n">
        <v>10</v>
      </c>
      <c r="T25" s="9" t="n">
        <v>67</v>
      </c>
      <c r="U25" s="11">
        <f>IFERROR(T25/S25,"")</f>
        <v/>
      </c>
      <c r="V25" s="12">
        <f>IFERROR(T25/R25,"")</f>
        <v/>
      </c>
      <c r="W25" s="9" t="n">
        <v>102</v>
      </c>
      <c r="X25" s="9" t="n">
        <v>102</v>
      </c>
      <c r="Y25" s="9" t="n">
        <v>0</v>
      </c>
    </row>
    <row r="26">
      <c r="A26" s="7" t="inlineStr">
        <is>
          <t>triblock-64-test</t>
        </is>
      </c>
      <c r="B26" s="7" t="inlineStr">
        <is>
          <t>triblock-64</t>
        </is>
      </c>
      <c r="C26" s="7" t="inlineStr">
        <is>
          <t>brush</t>
        </is>
      </c>
      <c r="D26" s="7" t="inlineStr">
        <is>
          <t>off</t>
        </is>
      </c>
      <c r="E26" s="15" t="inlineStr">
        <is>
          <t>OK — but 500 Å box (top-of-brush artefact)</t>
        </is>
      </c>
      <c r="F26" s="9" t="n">
        <v>1010</v>
      </c>
      <c r="G26" s="9" t="n">
        <v>7000</v>
      </c>
      <c r="H26" s="10">
        <f>IF(F26="","",F26*G26*0.01/1000)</f>
        <v/>
      </c>
      <c r="I26" s="9" t="n">
        <v>16</v>
      </c>
      <c r="J26" s="9" t="n">
        <v>256</v>
      </c>
      <c r="K26" s="9" t="n">
        <v>2983</v>
      </c>
      <c r="L26" s="9" t="n">
        <v>2765</v>
      </c>
      <c r="M26" s="11">
        <f>IFERROR(L26/K26,"")</f>
        <v/>
      </c>
      <c r="N26" s="12">
        <f>IFERROR(L26/(K26+L26),"")</f>
        <v/>
      </c>
      <c r="O26" s="13" t="n">
        <v>0.00154</v>
      </c>
      <c r="P26" s="13" t="n">
        <v>9.000000000000001e-05</v>
      </c>
      <c r="Q26" s="11">
        <f>IFERROR(P26/O26,"")</f>
        <v/>
      </c>
      <c r="R26" s="9" t="n"/>
      <c r="S26" s="9" t="n"/>
      <c r="T26" s="9" t="n"/>
      <c r="U26" s="11">
        <f>IFERROR(T26/S26,"")</f>
        <v/>
      </c>
      <c r="V26" s="12">
        <f>IFERROR(T26/R26,"")</f>
        <v/>
      </c>
      <c r="W26" s="9" t="n"/>
      <c r="X26" s="9" t="n"/>
      <c r="Y26" s="9" t="n"/>
    </row>
    <row r="28">
      <c r="A28" s="16" t="inlineStr">
        <is>
          <t>Numbers as measured; every ratio in this sheet is a formula over the two columns left of it. Sources and definitions: see the Notes tab.</t>
        </is>
      </c>
    </row>
  </sheetData>
  <autoFilter ref="A2:Y26"/>
  <mergeCells count="4">
    <mergeCell ref="W1:Y1"/>
    <mergeCell ref="R1:V1"/>
    <mergeCell ref="A1:J1"/>
    <mergeCell ref="K1:Q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1" customWidth="1" min="3" max="3"/>
    <col width="10" customWidth="1" min="4" max="4"/>
    <col width="9" customWidth="1" min="5" max="5"/>
    <col width="10" customWidth="1" min="6" max="6"/>
    <col width="8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  <col width="14" customWidth="1" min="13" max="13"/>
    <col width="14" customWidth="1" min="14" max="14"/>
    <col width="12" customWidth="1" min="15" max="15"/>
    <col width="12" customWidth="1" min="16" max="16"/>
    <col width="14" customWidth="1" min="17" max="17"/>
    <col width="18" customWidth="1" min="18" max="18"/>
    <col width="18" customWidth="1" min="19" max="19"/>
    <col width="16" customWidth="1" min="20" max="20"/>
    <col width="16" customWidth="1" min="21" max="21"/>
    <col width="14" customWidth="1" min="22" max="22"/>
    <col width="14" customWidth="1" min="23" max="23"/>
  </cols>
  <sheetData>
    <row r="1" ht="34" customHeight="1">
      <c r="A1" s="6" t="inlineStr">
        <is>
          <t>Run</t>
        </is>
      </c>
      <c r="B1" s="6" t="inlineStr">
        <is>
          <t>Frames analysed</t>
        </is>
      </c>
      <c r="C1" s="6" t="inlineStr">
        <is>
          <t>From frame</t>
        </is>
      </c>
      <c r="D1" s="6" t="inlineStr">
        <is>
          <t>Cutoff (Å)</t>
        </is>
      </c>
      <c r="E1" s="6" t="inlineStr">
        <is>
          <t>Lysines</t>
        </is>
      </c>
      <c r="F1" s="6" t="inlineStr">
        <is>
          <t>per chain</t>
        </is>
      </c>
      <c r="G1" s="6" t="inlineStr">
        <is>
          <t>Chains</t>
        </is>
      </c>
      <c r="H1" s="6" t="inlineStr">
        <is>
          <t>pairs monitored intra</t>
        </is>
      </c>
      <c r="I1" s="6" t="inlineStr">
        <is>
          <t>pairs monitored inter</t>
        </is>
      </c>
      <c r="J1" s="6" t="inlineStr">
        <is>
          <t>hits intra</t>
        </is>
      </c>
      <c r="K1" s="6" t="inlineStr">
        <is>
          <t>hits inter</t>
        </is>
      </c>
      <c r="L1" s="6" t="inlineStr">
        <is>
          <t>inter / intra hits</t>
        </is>
      </c>
      <c r="M1" s="6" t="inlineStr">
        <is>
          <t>hits/frame intra</t>
        </is>
      </c>
      <c r="N1" s="6" t="inlineStr">
        <is>
          <t>hits/frame inter</t>
        </is>
      </c>
      <c r="O1" s="6" t="inlineStr">
        <is>
          <t>P(pair) intra</t>
        </is>
      </c>
      <c r="P1" s="6" t="inlineStr">
        <is>
          <t>P(pair) inter</t>
        </is>
      </c>
      <c r="Q1" s="6" t="inlineStr">
        <is>
          <t>P inter / P intra</t>
        </is>
      </c>
      <c r="R1" s="6" t="inlineStr">
        <is>
          <t>pairs ever in contact intra</t>
        </is>
      </c>
      <c r="S1" s="6" t="inlineStr">
        <is>
          <t>pairs ever in contact inter</t>
        </is>
      </c>
      <c r="T1" s="6" t="inlineStr">
        <is>
          <t>ever-contacted intra</t>
        </is>
      </c>
      <c r="U1" s="6" t="inlineStr">
        <is>
          <t>ever-contacted inter</t>
        </is>
      </c>
      <c r="V1" s="6" t="inlineStr">
        <is>
          <t>closest intra (Å)</t>
        </is>
      </c>
      <c r="W1" s="6" t="inlineStr">
        <is>
          <t>closest inter (Å)</t>
        </is>
      </c>
    </row>
    <row r="2">
      <c r="A2" s="17" t="inlineStr">
        <is>
          <t>monoblock-brush-xl</t>
        </is>
      </c>
      <c r="B2" s="9" t="n">
        <v>1010</v>
      </c>
      <c r="C2" s="9" t="n">
        <v>0</v>
      </c>
      <c r="D2" s="10" t="n">
        <v>14</v>
      </c>
      <c r="E2" s="9" t="n">
        <v>256</v>
      </c>
      <c r="F2" s="9" t="n">
        <v>16</v>
      </c>
      <c r="G2" s="9" t="n">
        <v>16</v>
      </c>
      <c r="H2" s="9" t="n">
        <v>1920</v>
      </c>
      <c r="I2" s="9" t="n">
        <v>30720</v>
      </c>
      <c r="J2" s="9" t="n">
        <v>965</v>
      </c>
      <c r="K2" s="9" t="n">
        <v>5020</v>
      </c>
      <c r="L2" s="11">
        <f>IFERROR(K2/J2,"")</f>
        <v/>
      </c>
      <c r="M2" s="18" t="n">
        <v>0.96</v>
      </c>
      <c r="N2" s="18" t="n">
        <v>4.97</v>
      </c>
      <c r="O2" s="13" t="n">
        <v>0.0005</v>
      </c>
      <c r="P2" s="13" t="n">
        <v>0.00016</v>
      </c>
      <c r="Q2" s="11">
        <f>IFERROR(P2/O2,"")</f>
        <v/>
      </c>
      <c r="R2" s="9" t="n">
        <v>630</v>
      </c>
      <c r="S2" s="9" t="n">
        <v>4625</v>
      </c>
      <c r="T2" s="12">
        <f>IFERROR(R2/H2,"")</f>
        <v/>
      </c>
      <c r="U2" s="12">
        <f>IFERROR(S2/I2,"")</f>
        <v/>
      </c>
      <c r="V2" s="18" t="n">
        <v>0</v>
      </c>
      <c r="W2" s="18" t="n">
        <v>0</v>
      </c>
    </row>
    <row r="3">
      <c r="A3" s="17" t="inlineStr">
        <is>
          <t>monoblock-free-noxl</t>
        </is>
      </c>
      <c r="B3" s="9" t="n">
        <v>1010</v>
      </c>
      <c r="C3" s="9" t="n">
        <v>0</v>
      </c>
      <c r="D3" s="10" t="n">
        <v>14</v>
      </c>
      <c r="E3" s="9" t="n">
        <v>256</v>
      </c>
      <c r="F3" s="9" t="n">
        <v>16</v>
      </c>
      <c r="G3" s="9" t="n">
        <v>16</v>
      </c>
      <c r="H3" s="9" t="n">
        <v>1920</v>
      </c>
      <c r="I3" s="9" t="n">
        <v>30720</v>
      </c>
      <c r="J3" s="9" t="n">
        <v>12194</v>
      </c>
      <c r="K3" s="9" t="n">
        <v>16132</v>
      </c>
      <c r="L3" s="11">
        <f>IFERROR(K3/J3,"")</f>
        <v/>
      </c>
      <c r="M3" s="18" t="n">
        <v>12.07</v>
      </c>
      <c r="N3" s="18" t="n">
        <v>15.97</v>
      </c>
      <c r="O3" s="13" t="n">
        <v>0.00629</v>
      </c>
      <c r="P3" s="13" t="n">
        <v>0.00052</v>
      </c>
      <c r="Q3" s="11">
        <f>IFERROR(P3/O3,"")</f>
        <v/>
      </c>
      <c r="R3" s="9" t="n">
        <v>637</v>
      </c>
      <c r="S3" s="9" t="n">
        <v>1651</v>
      </c>
      <c r="T3" s="12">
        <f>IFERROR(R3/H3,"")</f>
        <v/>
      </c>
      <c r="U3" s="12">
        <f>IFERROR(S3/I3,"")</f>
        <v/>
      </c>
      <c r="V3" s="18" t="n">
        <v>5.42</v>
      </c>
      <c r="W3" s="18" t="n">
        <v>5.07</v>
      </c>
    </row>
    <row r="4">
      <c r="A4" s="17" t="inlineStr">
        <is>
          <t>monoblock-pre-noxl</t>
        </is>
      </c>
      <c r="B4" s="9" t="n">
        <v>1010</v>
      </c>
      <c r="C4" s="9" t="n">
        <v>0</v>
      </c>
      <c r="D4" s="10" t="n">
        <v>14</v>
      </c>
      <c r="E4" s="9" t="n">
        <v>256</v>
      </c>
      <c r="F4" s="9" t="n">
        <v>16</v>
      </c>
      <c r="G4" s="9" t="n">
        <v>16</v>
      </c>
      <c r="H4" s="9" t="n">
        <v>1920</v>
      </c>
      <c r="I4" s="9" t="n">
        <v>30720</v>
      </c>
      <c r="J4" s="9" t="n">
        <v>48981</v>
      </c>
      <c r="K4" s="9" t="n">
        <v>4352</v>
      </c>
      <c r="L4" s="11">
        <f>IFERROR(K4/J4,"")</f>
        <v/>
      </c>
      <c r="M4" s="18" t="n">
        <v>48.5</v>
      </c>
      <c r="N4" s="18" t="n">
        <v>4.31</v>
      </c>
      <c r="O4" s="13" t="n">
        <v>0.02526</v>
      </c>
      <c r="P4" s="13" t="n">
        <v>0.00014</v>
      </c>
      <c r="Q4" s="11">
        <f>IFERROR(P4/O4,"")</f>
        <v/>
      </c>
      <c r="R4" s="9" t="n">
        <v>1054</v>
      </c>
      <c r="S4" s="9" t="n">
        <v>2157</v>
      </c>
      <c r="T4" s="12">
        <f>IFERROR(R4/H4,"")</f>
        <v/>
      </c>
      <c r="U4" s="12">
        <f>IFERROR(S4/I4,"")</f>
        <v/>
      </c>
      <c r="V4" s="18" t="n">
        <v>5.74</v>
      </c>
      <c r="W4" s="18" t="n">
        <v>5.87</v>
      </c>
    </row>
    <row r="5">
      <c r="A5" s="17" t="inlineStr">
        <is>
          <t>monoblock-pre-xl</t>
        </is>
      </c>
      <c r="B5" s="9" t="n">
        <v>1010</v>
      </c>
      <c r="C5" s="9" t="n">
        <v>0</v>
      </c>
      <c r="D5" s="10" t="n">
        <v>14</v>
      </c>
      <c r="E5" s="9" t="n">
        <v>256</v>
      </c>
      <c r="F5" s="9" t="n">
        <v>16</v>
      </c>
      <c r="G5" s="9" t="n">
        <v>16</v>
      </c>
      <c r="H5" s="9" t="n">
        <v>1920</v>
      </c>
      <c r="I5" s="9" t="n">
        <v>30720</v>
      </c>
      <c r="J5" s="9" t="n">
        <v>7443</v>
      </c>
      <c r="K5" s="9" t="n">
        <v>5251</v>
      </c>
      <c r="L5" s="11">
        <f>IFERROR(K5/J5,"")</f>
        <v/>
      </c>
      <c r="M5" s="18" t="n">
        <v>7.37</v>
      </c>
      <c r="N5" s="18" t="n">
        <v>5.2</v>
      </c>
      <c r="O5" s="13" t="n">
        <v>0.00384</v>
      </c>
      <c r="P5" s="13" t="n">
        <v>0.00017</v>
      </c>
      <c r="Q5" s="11">
        <f>IFERROR(P5/O5,"")</f>
        <v/>
      </c>
      <c r="R5" s="9" t="n">
        <v>701</v>
      </c>
      <c r="S5" s="9" t="n">
        <v>4717</v>
      </c>
      <c r="T5" s="12">
        <f>IFERROR(R5/H5,"")</f>
        <v/>
      </c>
      <c r="U5" s="12">
        <f>IFERROR(S5/I5,"")</f>
        <v/>
      </c>
      <c r="V5" s="18" t="n">
        <v>0</v>
      </c>
      <c r="W5" s="18" t="n">
        <v>0</v>
      </c>
    </row>
    <row r="6">
      <c r="A6" s="17" t="inlineStr">
        <is>
          <t>monoblock-test</t>
        </is>
      </c>
      <c r="B6" s="9" t="n">
        <v>1010</v>
      </c>
      <c r="C6" s="9" t="n">
        <v>0</v>
      </c>
      <c r="D6" s="10" t="n">
        <v>14</v>
      </c>
      <c r="E6" s="9" t="n">
        <v>256</v>
      </c>
      <c r="F6" s="9" t="n">
        <v>16</v>
      </c>
      <c r="G6" s="9" t="n">
        <v>16</v>
      </c>
      <c r="H6" s="9" t="n">
        <v>1920</v>
      </c>
      <c r="I6" s="9" t="n">
        <v>30720</v>
      </c>
      <c r="J6" s="9" t="n">
        <v>3424</v>
      </c>
      <c r="K6" s="9" t="n">
        <v>3215</v>
      </c>
      <c r="L6" s="11">
        <f>IFERROR(K6/J6,"")</f>
        <v/>
      </c>
      <c r="M6" s="18" t="n">
        <v>3.39</v>
      </c>
      <c r="N6" s="18" t="n">
        <v>3.18</v>
      </c>
      <c r="O6" s="13" t="n">
        <v>0.00177</v>
      </c>
      <c r="P6" s="13" t="n">
        <v>0.0001</v>
      </c>
      <c r="Q6" s="11">
        <f>IFERROR(P6/O6,"")</f>
        <v/>
      </c>
      <c r="R6" s="9" t="n">
        <v>880</v>
      </c>
      <c r="S6" s="9" t="n">
        <v>2612</v>
      </c>
      <c r="T6" s="12">
        <f>IFERROR(R6/H6,"")</f>
        <v/>
      </c>
      <c r="U6" s="12">
        <f>IFERROR(S6/I6,"")</f>
        <v/>
      </c>
      <c r="V6" s="18" t="n">
        <v>5.72</v>
      </c>
      <c r="W6" s="18" t="n">
        <v>5.93</v>
      </c>
    </row>
    <row r="7">
      <c r="A7" s="17" t="inlineStr">
        <is>
          <t>tetrablock</t>
        </is>
      </c>
      <c r="B7" s="9" t="n">
        <v>1010</v>
      </c>
      <c r="C7" s="9" t="n">
        <v>0</v>
      </c>
      <c r="D7" s="10" t="n">
        <v>14</v>
      </c>
      <c r="E7" s="9" t="n">
        <v>256</v>
      </c>
      <c r="F7" s="9" t="n">
        <v>16</v>
      </c>
      <c r="G7" s="9" t="n">
        <v>16</v>
      </c>
      <c r="H7" s="9" t="n">
        <v>1920</v>
      </c>
      <c r="I7" s="9" t="n">
        <v>30720</v>
      </c>
      <c r="J7" s="9" t="n">
        <v>3653</v>
      </c>
      <c r="K7" s="9" t="n">
        <v>3056</v>
      </c>
      <c r="L7" s="11">
        <f>IFERROR(K7/J7,"")</f>
        <v/>
      </c>
      <c r="M7" s="18" t="n">
        <v>3.62</v>
      </c>
      <c r="N7" s="18" t="n">
        <v>3.03</v>
      </c>
      <c r="O7" s="13" t="n">
        <v>0.00188</v>
      </c>
      <c r="P7" s="13" t="n">
        <v>0.0001</v>
      </c>
      <c r="Q7" s="11">
        <f>IFERROR(P7/O7,"")</f>
        <v/>
      </c>
      <c r="R7" s="9" t="n">
        <v>880</v>
      </c>
      <c r="S7" s="9" t="n">
        <v>2546</v>
      </c>
      <c r="T7" s="12">
        <f>IFERROR(R7/H7,"")</f>
        <v/>
      </c>
      <c r="U7" s="12">
        <f>IFERROR(S7/I7,"")</f>
        <v/>
      </c>
      <c r="V7" s="18" t="n">
        <v>5.9</v>
      </c>
      <c r="W7" s="18" t="n">
        <v>6.14</v>
      </c>
    </row>
    <row r="8">
      <c r="A8" s="17" t="inlineStr">
        <is>
          <t>tetrablock-brush-xl</t>
        </is>
      </c>
      <c r="B8" s="9" t="n">
        <v>986</v>
      </c>
      <c r="C8" s="9" t="n">
        <v>0</v>
      </c>
      <c r="D8" s="10" t="n">
        <v>14</v>
      </c>
      <c r="E8" s="9" t="n">
        <v>256</v>
      </c>
      <c r="F8" s="9" t="n">
        <v>16</v>
      </c>
      <c r="G8" s="9" t="n">
        <v>16</v>
      </c>
      <c r="H8" s="9" t="n">
        <v>1920</v>
      </c>
      <c r="I8" s="9" t="n">
        <v>30720</v>
      </c>
      <c r="J8" s="9" t="n">
        <v>882</v>
      </c>
      <c r="K8" s="9" t="n">
        <v>3716</v>
      </c>
      <c r="L8" s="11">
        <f>IFERROR(K8/J8,"")</f>
        <v/>
      </c>
      <c r="M8" s="18" t="n">
        <v>0.89</v>
      </c>
      <c r="N8" s="18" t="n">
        <v>3.77</v>
      </c>
      <c r="O8" s="13" t="n">
        <v>0.00047</v>
      </c>
      <c r="P8" s="13" t="n">
        <v>0.00012</v>
      </c>
      <c r="Q8" s="11">
        <f>IFERROR(P8/O8,"")</f>
        <v/>
      </c>
      <c r="R8" s="9" t="n">
        <v>570</v>
      </c>
      <c r="S8" s="9" t="n">
        <v>3450</v>
      </c>
      <c r="T8" s="12">
        <f>IFERROR(R8/H8,"")</f>
        <v/>
      </c>
      <c r="U8" s="12">
        <f>IFERROR(S8/I8,"")</f>
        <v/>
      </c>
      <c r="V8" s="18" t="n">
        <v>0.15</v>
      </c>
      <c r="W8" s="18" t="n">
        <v>0</v>
      </c>
    </row>
    <row r="9">
      <c r="A9" s="17" t="inlineStr">
        <is>
          <t>tetrablock-free-noxl</t>
        </is>
      </c>
      <c r="B9" s="9" t="n">
        <v>1010</v>
      </c>
      <c r="C9" s="9" t="n">
        <v>0</v>
      </c>
      <c r="D9" s="10" t="n">
        <v>14</v>
      </c>
      <c r="E9" s="9" t="n">
        <v>256</v>
      </c>
      <c r="F9" s="9" t="n">
        <v>16</v>
      </c>
      <c r="G9" s="9" t="n">
        <v>16</v>
      </c>
      <c r="H9" s="9" t="n">
        <v>1920</v>
      </c>
      <c r="I9" s="9" t="n">
        <v>30720</v>
      </c>
      <c r="J9" s="9" t="n">
        <v>12719</v>
      </c>
      <c r="K9" s="9" t="n">
        <v>21217</v>
      </c>
      <c r="L9" s="11">
        <f>IFERROR(K9/J9,"")</f>
        <v/>
      </c>
      <c r="M9" s="18" t="n">
        <v>12.59</v>
      </c>
      <c r="N9" s="18" t="n">
        <v>21.01</v>
      </c>
      <c r="O9" s="13" t="n">
        <v>0.00656</v>
      </c>
      <c r="P9" s="13" t="n">
        <v>0.00068</v>
      </c>
      <c r="Q9" s="11">
        <f>IFERROR(P9/O9,"")</f>
        <v/>
      </c>
      <c r="R9" s="9" t="n">
        <v>545</v>
      </c>
      <c r="S9" s="9" t="n">
        <v>1321</v>
      </c>
      <c r="T9" s="12">
        <f>IFERROR(R9/H9,"")</f>
        <v/>
      </c>
      <c r="U9" s="12">
        <f>IFERROR(S9/I9,"")</f>
        <v/>
      </c>
      <c r="V9" s="18" t="n">
        <v>5.33</v>
      </c>
      <c r="W9" s="18" t="n">
        <v>5.16</v>
      </c>
    </row>
    <row r="10">
      <c r="A10" s="17" t="inlineStr">
        <is>
          <t>tetrablock-free-xl</t>
        </is>
      </c>
      <c r="B10" s="9" t="n">
        <v>991</v>
      </c>
      <c r="C10" s="9" t="n">
        <v>0</v>
      </c>
      <c r="D10" s="10" t="n">
        <v>14</v>
      </c>
      <c r="E10" s="9" t="n">
        <v>256</v>
      </c>
      <c r="F10" s="9" t="n">
        <v>16</v>
      </c>
      <c r="G10" s="9" t="n">
        <v>16</v>
      </c>
      <c r="H10" s="9" t="n">
        <v>1920</v>
      </c>
      <c r="I10" s="9" t="n">
        <v>30720</v>
      </c>
      <c r="J10" s="9" t="n">
        <v>787</v>
      </c>
      <c r="K10" s="9" t="n">
        <v>3538</v>
      </c>
      <c r="L10" s="11">
        <f>IFERROR(K10/J10,"")</f>
        <v/>
      </c>
      <c r="M10" s="18" t="n">
        <v>0.79</v>
      </c>
      <c r="N10" s="18" t="n">
        <v>3.57</v>
      </c>
      <c r="O10" s="13" t="n">
        <v>0.00041</v>
      </c>
      <c r="P10" s="13" t="n">
        <v>0.00012</v>
      </c>
      <c r="Q10" s="11">
        <f>IFERROR(P10/O10,"")</f>
        <v/>
      </c>
      <c r="R10" s="9" t="n">
        <v>522</v>
      </c>
      <c r="S10" s="9" t="n">
        <v>3308</v>
      </c>
      <c r="T10" s="12">
        <f>IFERROR(R10/H10,"")</f>
        <v/>
      </c>
      <c r="U10" s="12">
        <f>IFERROR(S10/I10,"")</f>
        <v/>
      </c>
      <c r="V10" s="18" t="n">
        <v>0</v>
      </c>
      <c r="W10" s="18" t="n">
        <v>0</v>
      </c>
    </row>
    <row r="11">
      <c r="A11" s="17" t="inlineStr">
        <is>
          <t>tetrablock-pre-noxl</t>
        </is>
      </c>
      <c r="B11" s="9" t="n">
        <v>1010</v>
      </c>
      <c r="C11" s="9" t="n">
        <v>0</v>
      </c>
      <c r="D11" s="10" t="n">
        <v>14</v>
      </c>
      <c r="E11" s="9" t="n">
        <v>256</v>
      </c>
      <c r="F11" s="9" t="n">
        <v>16</v>
      </c>
      <c r="G11" s="9" t="n">
        <v>16</v>
      </c>
      <c r="H11" s="9" t="n">
        <v>1920</v>
      </c>
      <c r="I11" s="9" t="n">
        <v>30720</v>
      </c>
      <c r="J11" s="9" t="n">
        <v>44631</v>
      </c>
      <c r="K11" s="9" t="n">
        <v>3197</v>
      </c>
      <c r="L11" s="11">
        <f>IFERROR(K11/J11,"")</f>
        <v/>
      </c>
      <c r="M11" s="18" t="n">
        <v>44.19</v>
      </c>
      <c r="N11" s="18" t="n">
        <v>3.17</v>
      </c>
      <c r="O11" s="13" t="n">
        <v>0.02302</v>
      </c>
      <c r="P11" s="13" t="n">
        <v>0.0001</v>
      </c>
      <c r="Q11" s="11">
        <f>IFERROR(P11/O11,"")</f>
        <v/>
      </c>
      <c r="R11" s="9" t="n">
        <v>776</v>
      </c>
      <c r="S11" s="9" t="n">
        <v>1459</v>
      </c>
      <c r="T11" s="12">
        <f>IFERROR(R11/H11,"")</f>
        <v/>
      </c>
      <c r="U11" s="12">
        <f>IFERROR(S11/I11,"")</f>
        <v/>
      </c>
      <c r="V11" s="18" t="n">
        <v>5.91</v>
      </c>
      <c r="W11" s="18" t="n">
        <v>5.76</v>
      </c>
    </row>
    <row r="12">
      <c r="A12" s="17" t="inlineStr">
        <is>
          <t>tetrablock-pre-xl</t>
        </is>
      </c>
      <c r="B12" s="9" t="n">
        <v>1007</v>
      </c>
      <c r="C12" s="9" t="n">
        <v>0</v>
      </c>
      <c r="D12" s="10" t="n">
        <v>14</v>
      </c>
      <c r="E12" s="9" t="n">
        <v>256</v>
      </c>
      <c r="F12" s="9" t="n">
        <v>16</v>
      </c>
      <c r="G12" s="9" t="n">
        <v>16</v>
      </c>
      <c r="H12" s="9" t="n">
        <v>1920</v>
      </c>
      <c r="I12" s="9" t="n">
        <v>30720</v>
      </c>
      <c r="J12" s="9" t="n">
        <v>8107</v>
      </c>
      <c r="K12" s="9" t="n">
        <v>3564</v>
      </c>
      <c r="L12" s="11">
        <f>IFERROR(K12/J12,"")</f>
        <v/>
      </c>
      <c r="M12" s="18" t="n">
        <v>8.050000000000001</v>
      </c>
      <c r="N12" s="18" t="n">
        <v>3.54</v>
      </c>
      <c r="O12" s="13" t="n">
        <v>0.00419</v>
      </c>
      <c r="P12" s="13" t="n">
        <v>0.00012</v>
      </c>
      <c r="Q12" s="11">
        <f>IFERROR(P12/O12,"")</f>
        <v/>
      </c>
      <c r="R12" s="9" t="n">
        <v>584</v>
      </c>
      <c r="S12" s="9" t="n">
        <v>3105</v>
      </c>
      <c r="T12" s="12">
        <f>IFERROR(R12/H12,"")</f>
        <v/>
      </c>
      <c r="U12" s="12">
        <f>IFERROR(S12/I12,"")</f>
        <v/>
      </c>
      <c r="V12" s="18" t="n">
        <v>0</v>
      </c>
      <c r="W12" s="18" t="n">
        <v>0</v>
      </c>
    </row>
    <row r="13">
      <c r="A13" s="17" t="inlineStr">
        <is>
          <t>triblock-32-brush-xl</t>
        </is>
      </c>
      <c r="B13" s="9" t="n">
        <v>1010</v>
      </c>
      <c r="C13" s="9" t="n">
        <v>0</v>
      </c>
      <c r="D13" s="10" t="n">
        <v>14</v>
      </c>
      <c r="E13" s="9" t="n">
        <v>256</v>
      </c>
      <c r="F13" s="9" t="n">
        <v>16</v>
      </c>
      <c r="G13" s="9" t="n">
        <v>16</v>
      </c>
      <c r="H13" s="9" t="n">
        <v>1920</v>
      </c>
      <c r="I13" s="9" t="n">
        <v>30720</v>
      </c>
      <c r="J13" s="9" t="n">
        <v>902</v>
      </c>
      <c r="K13" s="9" t="n">
        <v>4335</v>
      </c>
      <c r="L13" s="11">
        <f>IFERROR(K13/J13,"")</f>
        <v/>
      </c>
      <c r="M13" s="18" t="n">
        <v>0.89</v>
      </c>
      <c r="N13" s="18" t="n">
        <v>4.29</v>
      </c>
      <c r="O13" s="13" t="n">
        <v>0.00047</v>
      </c>
      <c r="P13" s="13" t="n">
        <v>0.00014</v>
      </c>
      <c r="Q13" s="11">
        <f>IFERROR(P13/O13,"")</f>
        <v/>
      </c>
      <c r="R13" s="9" t="n">
        <v>579</v>
      </c>
      <c r="S13" s="9" t="n">
        <v>3978</v>
      </c>
      <c r="T13" s="12">
        <f>IFERROR(R13/H13,"")</f>
        <v/>
      </c>
      <c r="U13" s="12">
        <f>IFERROR(S13/I13,"")</f>
        <v/>
      </c>
      <c r="V13" s="18" t="n">
        <v>1.64</v>
      </c>
      <c r="W13" s="18" t="n">
        <v>0</v>
      </c>
    </row>
    <row r="14">
      <c r="A14" s="17" t="inlineStr">
        <is>
          <t>triblock-32-free-noxl</t>
        </is>
      </c>
      <c r="B14" s="9" t="n">
        <v>1010</v>
      </c>
      <c r="C14" s="9" t="n">
        <v>0</v>
      </c>
      <c r="D14" s="10" t="n">
        <v>14</v>
      </c>
      <c r="E14" s="9" t="n">
        <v>256</v>
      </c>
      <c r="F14" s="9" t="n">
        <v>16</v>
      </c>
      <c r="G14" s="9" t="n">
        <v>16</v>
      </c>
      <c r="H14" s="9" t="n">
        <v>1920</v>
      </c>
      <c r="I14" s="9" t="n">
        <v>30720</v>
      </c>
      <c r="J14" s="9" t="n">
        <v>12369</v>
      </c>
      <c r="K14" s="9" t="n">
        <v>21906</v>
      </c>
      <c r="L14" s="11">
        <f>IFERROR(K14/J14,"")</f>
        <v/>
      </c>
      <c r="M14" s="18" t="n">
        <v>12.25</v>
      </c>
      <c r="N14" s="18" t="n">
        <v>21.69</v>
      </c>
      <c r="O14" s="13" t="n">
        <v>0.00638</v>
      </c>
      <c r="P14" s="13" t="n">
        <v>0.00071</v>
      </c>
      <c r="Q14" s="11">
        <f>IFERROR(P14/O14,"")</f>
        <v/>
      </c>
      <c r="R14" s="9" t="n">
        <v>609</v>
      </c>
      <c r="S14" s="9" t="n">
        <v>1405</v>
      </c>
      <c r="T14" s="12">
        <f>IFERROR(R14/H14,"")</f>
        <v/>
      </c>
      <c r="U14" s="12">
        <f>IFERROR(S14/I14,"")</f>
        <v/>
      </c>
      <c r="V14" s="18" t="n">
        <v>5.6</v>
      </c>
      <c r="W14" s="18" t="n">
        <v>5.37</v>
      </c>
    </row>
    <row r="15">
      <c r="A15" s="17" t="inlineStr">
        <is>
          <t>triblock-32-free-xl</t>
        </is>
      </c>
      <c r="B15" s="9" t="n">
        <v>1010</v>
      </c>
      <c r="C15" s="9" t="n">
        <v>0</v>
      </c>
      <c r="D15" s="10" t="n">
        <v>14</v>
      </c>
      <c r="E15" s="9" t="n">
        <v>256</v>
      </c>
      <c r="F15" s="9" t="n">
        <v>16</v>
      </c>
      <c r="G15" s="9" t="n">
        <v>16</v>
      </c>
      <c r="H15" s="9" t="n">
        <v>1920</v>
      </c>
      <c r="I15" s="9" t="n">
        <v>30720</v>
      </c>
      <c r="J15" s="9" t="n">
        <v>802</v>
      </c>
      <c r="K15" s="9" t="n">
        <v>4316</v>
      </c>
      <c r="L15" s="11">
        <f>IFERROR(K15/J15,"")</f>
        <v/>
      </c>
      <c r="M15" s="18" t="n">
        <v>0.79</v>
      </c>
      <c r="N15" s="18" t="n">
        <v>4.27</v>
      </c>
      <c r="O15" s="13" t="n">
        <v>0.00041</v>
      </c>
      <c r="P15" s="13" t="n">
        <v>0.00014</v>
      </c>
      <c r="Q15" s="11">
        <f>IFERROR(P15/O15,"")</f>
        <v/>
      </c>
      <c r="R15" s="9" t="n">
        <v>536</v>
      </c>
      <c r="S15" s="9" t="n">
        <v>3971</v>
      </c>
      <c r="T15" s="12">
        <f>IFERROR(R15/H15,"")</f>
        <v/>
      </c>
      <c r="U15" s="12">
        <f>IFERROR(S15/I15,"")</f>
        <v/>
      </c>
      <c r="V15" s="18" t="n">
        <v>2.05</v>
      </c>
      <c r="W15" s="18" t="n">
        <v>0</v>
      </c>
    </row>
    <row r="16">
      <c r="A16" s="17" t="inlineStr">
        <is>
          <t>triblock-32-pre-noxl</t>
        </is>
      </c>
      <c r="B16" s="9" t="n">
        <v>1010</v>
      </c>
      <c r="C16" s="9" t="n">
        <v>0</v>
      </c>
      <c r="D16" s="10" t="n">
        <v>14</v>
      </c>
      <c r="E16" s="9" t="n">
        <v>256</v>
      </c>
      <c r="F16" s="9" t="n">
        <v>16</v>
      </c>
      <c r="G16" s="9" t="n">
        <v>16</v>
      </c>
      <c r="H16" s="9" t="n">
        <v>1920</v>
      </c>
      <c r="I16" s="9" t="n">
        <v>30720</v>
      </c>
      <c r="J16" s="9" t="n">
        <v>52359</v>
      </c>
      <c r="K16" s="9" t="n">
        <v>4351</v>
      </c>
      <c r="L16" s="11">
        <f>IFERROR(K16/J16,"")</f>
        <v/>
      </c>
      <c r="M16" s="18" t="n">
        <v>51.84</v>
      </c>
      <c r="N16" s="18" t="n">
        <v>4.31</v>
      </c>
      <c r="O16" s="13" t="n">
        <v>0.027</v>
      </c>
      <c r="P16" s="13" t="n">
        <v>0.00014</v>
      </c>
      <c r="Q16" s="11">
        <f>IFERROR(P16/O16,"")</f>
        <v/>
      </c>
      <c r="R16" s="9" t="n">
        <v>977</v>
      </c>
      <c r="S16" s="9" t="n">
        <v>2111</v>
      </c>
      <c r="T16" s="12">
        <f>IFERROR(R16/H16,"")</f>
        <v/>
      </c>
      <c r="U16" s="12">
        <f>IFERROR(S16/I16,"")</f>
        <v/>
      </c>
      <c r="V16" s="18" t="n">
        <v>5.76</v>
      </c>
      <c r="W16" s="18" t="n">
        <v>5.63</v>
      </c>
    </row>
    <row r="17">
      <c r="A17" s="17" t="inlineStr">
        <is>
          <t>triblock-32-pre-xl</t>
        </is>
      </c>
      <c r="B17" s="9" t="n">
        <v>1010</v>
      </c>
      <c r="C17" s="9" t="n">
        <v>0</v>
      </c>
      <c r="D17" s="10" t="n">
        <v>14</v>
      </c>
      <c r="E17" s="9" t="n">
        <v>256</v>
      </c>
      <c r="F17" s="9" t="n">
        <v>16</v>
      </c>
      <c r="G17" s="9" t="n">
        <v>16</v>
      </c>
      <c r="H17" s="9" t="n">
        <v>1920</v>
      </c>
      <c r="I17" s="9" t="n">
        <v>30720</v>
      </c>
      <c r="J17" s="9" t="n">
        <v>7240</v>
      </c>
      <c r="K17" s="9" t="n">
        <v>4179</v>
      </c>
      <c r="L17" s="11">
        <f>IFERROR(K17/J17,"")</f>
        <v/>
      </c>
      <c r="M17" s="18" t="n">
        <v>7.17</v>
      </c>
      <c r="N17" s="18" t="n">
        <v>4.14</v>
      </c>
      <c r="O17" s="13" t="n">
        <v>0.00373</v>
      </c>
      <c r="P17" s="13" t="n">
        <v>0.00013</v>
      </c>
      <c r="Q17" s="11">
        <f>IFERROR(P17/O17,"")</f>
        <v/>
      </c>
      <c r="R17" s="9" t="n">
        <v>602</v>
      </c>
      <c r="S17" s="9" t="n">
        <v>3786</v>
      </c>
      <c r="T17" s="12">
        <f>IFERROR(R17/H17,"")</f>
        <v/>
      </c>
      <c r="U17" s="12">
        <f>IFERROR(S17/I17,"")</f>
        <v/>
      </c>
      <c r="V17" s="18" t="n">
        <v>2.21</v>
      </c>
      <c r="W17" s="18" t="n">
        <v>0</v>
      </c>
    </row>
    <row r="18">
      <c r="A18" s="17" t="inlineStr">
        <is>
          <t>triblock-32-test</t>
        </is>
      </c>
      <c r="B18" s="9" t="n">
        <v>1010</v>
      </c>
      <c r="C18" s="9" t="n">
        <v>0</v>
      </c>
      <c r="D18" s="10" t="n">
        <v>14</v>
      </c>
      <c r="E18" s="9" t="n">
        <v>256</v>
      </c>
      <c r="F18" s="9" t="n">
        <v>16</v>
      </c>
      <c r="G18" s="9" t="n">
        <v>16</v>
      </c>
      <c r="H18" s="9" t="n">
        <v>1920</v>
      </c>
      <c r="I18" s="9" t="n">
        <v>30720</v>
      </c>
      <c r="J18" s="9" t="n">
        <v>3093</v>
      </c>
      <c r="K18" s="9" t="n">
        <v>2879</v>
      </c>
      <c r="L18" s="11">
        <f>IFERROR(K18/J18,"")</f>
        <v/>
      </c>
      <c r="M18" s="18" t="n">
        <v>3.06</v>
      </c>
      <c r="N18" s="18" t="n">
        <v>2.85</v>
      </c>
      <c r="O18" s="13" t="n">
        <v>0.00159</v>
      </c>
      <c r="P18" s="13" t="n">
        <v>9.000000000000001e-05</v>
      </c>
      <c r="Q18" s="11">
        <f>IFERROR(P18/O18,"")</f>
        <v/>
      </c>
      <c r="R18" s="9" t="n">
        <v>738</v>
      </c>
      <c r="S18" s="9" t="n">
        <v>2334</v>
      </c>
      <c r="T18" s="12">
        <f>IFERROR(R18/H18,"")</f>
        <v/>
      </c>
      <c r="U18" s="12">
        <f>IFERROR(S18/I18,"")</f>
        <v/>
      </c>
      <c r="V18" s="18" t="n">
        <v>5.92</v>
      </c>
      <c r="W18" s="18" t="n">
        <v>5.95</v>
      </c>
    </row>
    <row r="19">
      <c r="A19" s="17" t="inlineStr">
        <is>
          <t>triblock-64-brush-xl</t>
        </is>
      </c>
      <c r="B19" s="9" t="n">
        <v>987</v>
      </c>
      <c r="C19" s="9" t="n">
        <v>0</v>
      </c>
      <c r="D19" s="10" t="n">
        <v>14</v>
      </c>
      <c r="E19" s="9" t="n">
        <v>256</v>
      </c>
      <c r="F19" s="9" t="n">
        <v>16</v>
      </c>
      <c r="G19" s="9" t="n">
        <v>16</v>
      </c>
      <c r="H19" s="9" t="n">
        <v>1920</v>
      </c>
      <c r="I19" s="9" t="n">
        <v>30720</v>
      </c>
      <c r="J19" s="9" t="n">
        <v>822</v>
      </c>
      <c r="K19" s="9" t="n">
        <v>3640</v>
      </c>
      <c r="L19" s="11">
        <f>IFERROR(K19/J19,"")</f>
        <v/>
      </c>
      <c r="M19" s="18" t="n">
        <v>0.83</v>
      </c>
      <c r="N19" s="18" t="n">
        <v>3.69</v>
      </c>
      <c r="O19" s="13" t="n">
        <v>0.00043</v>
      </c>
      <c r="P19" s="13" t="n">
        <v>0.00012</v>
      </c>
      <c r="Q19" s="11">
        <f>IFERROR(P19/O19,"")</f>
        <v/>
      </c>
      <c r="R19" s="9" t="n">
        <v>552</v>
      </c>
      <c r="S19" s="9" t="n">
        <v>3400</v>
      </c>
      <c r="T19" s="12">
        <f>IFERROR(R19/H19,"")</f>
        <v/>
      </c>
      <c r="U19" s="12">
        <f>IFERROR(S19/I19,"")</f>
        <v/>
      </c>
      <c r="V19" s="18" t="n">
        <v>0.01</v>
      </c>
      <c r="W19" s="18" t="n">
        <v>0</v>
      </c>
    </row>
    <row r="20">
      <c r="A20" s="17" t="inlineStr">
        <is>
          <t>triblock-64-free-noxl</t>
        </is>
      </c>
      <c r="B20" s="9" t="n">
        <v>1010</v>
      </c>
      <c r="C20" s="9" t="n">
        <v>0</v>
      </c>
      <c r="D20" s="10" t="n">
        <v>14</v>
      </c>
      <c r="E20" s="9" t="n">
        <v>256</v>
      </c>
      <c r="F20" s="9" t="n">
        <v>16</v>
      </c>
      <c r="G20" s="9" t="n">
        <v>16</v>
      </c>
      <c r="H20" s="9" t="n">
        <v>1920</v>
      </c>
      <c r="I20" s="9" t="n">
        <v>30720</v>
      </c>
      <c r="J20" s="9" t="n">
        <v>16961</v>
      </c>
      <c r="K20" s="9" t="n">
        <v>17136</v>
      </c>
      <c r="L20" s="11">
        <f>IFERROR(K20/J20,"")</f>
        <v/>
      </c>
      <c r="M20" s="18" t="n">
        <v>16.79</v>
      </c>
      <c r="N20" s="18" t="n">
        <v>16.97</v>
      </c>
      <c r="O20" s="13" t="n">
        <v>0.008750000000000001</v>
      </c>
      <c r="P20" s="13" t="n">
        <v>0.00055</v>
      </c>
      <c r="Q20" s="11">
        <f>IFERROR(P20/O20,"")</f>
        <v/>
      </c>
      <c r="R20" s="9" t="n">
        <v>516</v>
      </c>
      <c r="S20" s="9" t="n">
        <v>1195</v>
      </c>
      <c r="T20" s="12">
        <f>IFERROR(R20/H20,"")</f>
        <v/>
      </c>
      <c r="U20" s="12">
        <f>IFERROR(S20/I20,"")</f>
        <v/>
      </c>
      <c r="V20" s="18" t="n">
        <v>5.21</v>
      </c>
      <c r="W20" s="18" t="n">
        <v>5.28</v>
      </c>
    </row>
    <row r="21">
      <c r="A21" s="17" t="inlineStr">
        <is>
          <t>triblock-64-free-xl</t>
        </is>
      </c>
      <c r="B21" s="9" t="n">
        <v>987</v>
      </c>
      <c r="C21" s="9" t="n">
        <v>0</v>
      </c>
      <c r="D21" s="10" t="n">
        <v>14</v>
      </c>
      <c r="E21" s="9" t="n">
        <v>256</v>
      </c>
      <c r="F21" s="9" t="n">
        <v>16</v>
      </c>
      <c r="G21" s="9" t="n">
        <v>16</v>
      </c>
      <c r="H21" s="9" t="n">
        <v>1920</v>
      </c>
      <c r="I21" s="9" t="n">
        <v>30720</v>
      </c>
      <c r="J21" s="9" t="n">
        <v>781</v>
      </c>
      <c r="K21" s="9" t="n">
        <v>3503</v>
      </c>
      <c r="L21" s="11">
        <f>IFERROR(K21/J21,"")</f>
        <v/>
      </c>
      <c r="M21" s="18" t="n">
        <v>0.79</v>
      </c>
      <c r="N21" s="18" t="n">
        <v>3.55</v>
      </c>
      <c r="O21" s="13" t="n">
        <v>0.00041</v>
      </c>
      <c r="P21" s="13" t="n">
        <v>0.00012</v>
      </c>
      <c r="Q21" s="11">
        <f>IFERROR(P21/O21,"")</f>
        <v/>
      </c>
      <c r="R21" s="9" t="n">
        <v>525</v>
      </c>
      <c r="S21" s="9" t="n">
        <v>3241</v>
      </c>
      <c r="T21" s="12">
        <f>IFERROR(R21/H21,"")</f>
        <v/>
      </c>
      <c r="U21" s="12">
        <f>IFERROR(S21/I21,"")</f>
        <v/>
      </c>
      <c r="V21" s="18" t="n">
        <v>0</v>
      </c>
      <c r="W21" s="18" t="n">
        <v>0</v>
      </c>
    </row>
    <row r="22">
      <c r="A22" s="17" t="inlineStr">
        <is>
          <t>triblock-64-pre-noxl</t>
        </is>
      </c>
      <c r="B22" s="9" t="n">
        <v>1010</v>
      </c>
      <c r="C22" s="9" t="n">
        <v>0</v>
      </c>
      <c r="D22" s="10" t="n">
        <v>14</v>
      </c>
      <c r="E22" s="9" t="n">
        <v>256</v>
      </c>
      <c r="F22" s="9" t="n">
        <v>16</v>
      </c>
      <c r="G22" s="9" t="n">
        <v>16</v>
      </c>
      <c r="H22" s="9" t="n">
        <v>1920</v>
      </c>
      <c r="I22" s="9" t="n">
        <v>30720</v>
      </c>
      <c r="J22" s="9" t="n">
        <v>46277</v>
      </c>
      <c r="K22" s="9" t="n">
        <v>4440</v>
      </c>
      <c r="L22" s="11">
        <f>IFERROR(K22/J22,"")</f>
        <v/>
      </c>
      <c r="M22" s="18" t="n">
        <v>45.82</v>
      </c>
      <c r="N22" s="18" t="n">
        <v>4.4</v>
      </c>
      <c r="O22" s="13" t="n">
        <v>0.02386</v>
      </c>
      <c r="P22" s="13" t="n">
        <v>0.00014</v>
      </c>
      <c r="Q22" s="11">
        <f>IFERROR(P22/O22,"")</f>
        <v/>
      </c>
      <c r="R22" s="9" t="n">
        <v>928</v>
      </c>
      <c r="S22" s="9" t="n">
        <v>2024</v>
      </c>
      <c r="T22" s="12">
        <f>IFERROR(R22/H22,"")</f>
        <v/>
      </c>
      <c r="U22" s="12">
        <f>IFERROR(S22/I22,"")</f>
        <v/>
      </c>
      <c r="V22" s="18" t="n">
        <v>5.87</v>
      </c>
      <c r="W22" s="18" t="n">
        <v>5.81</v>
      </c>
    </row>
    <row r="23">
      <c r="A23" s="17" t="inlineStr">
        <is>
          <t>triblock-64-pre-xl</t>
        </is>
      </c>
      <c r="B23" s="9" t="n">
        <v>994</v>
      </c>
      <c r="C23" s="9" t="n">
        <v>0</v>
      </c>
      <c r="D23" s="10" t="n">
        <v>14</v>
      </c>
      <c r="E23" s="9" t="n">
        <v>256</v>
      </c>
      <c r="F23" s="9" t="n">
        <v>16</v>
      </c>
      <c r="G23" s="9" t="n">
        <v>16</v>
      </c>
      <c r="H23" s="9" t="n">
        <v>1920</v>
      </c>
      <c r="I23" s="9" t="n">
        <v>30720</v>
      </c>
      <c r="J23" s="9" t="n">
        <v>6643</v>
      </c>
      <c r="K23" s="9" t="n">
        <v>3638</v>
      </c>
      <c r="L23" s="11">
        <f>IFERROR(K23/J23,"")</f>
        <v/>
      </c>
      <c r="M23" s="18" t="n">
        <v>6.68</v>
      </c>
      <c r="N23" s="18" t="n">
        <v>3.66</v>
      </c>
      <c r="O23" s="13" t="n">
        <v>0.00348</v>
      </c>
      <c r="P23" s="13" t="n">
        <v>0.00012</v>
      </c>
      <c r="Q23" s="11">
        <f>IFERROR(P23/O23,"")</f>
        <v/>
      </c>
      <c r="R23" s="9" t="n">
        <v>589</v>
      </c>
      <c r="S23" s="9" t="n">
        <v>3236</v>
      </c>
      <c r="T23" s="12">
        <f>IFERROR(R23/H23,"")</f>
        <v/>
      </c>
      <c r="U23" s="12">
        <f>IFERROR(S23/I23,"")</f>
        <v/>
      </c>
      <c r="V23" s="18" t="n">
        <v>0</v>
      </c>
      <c r="W23" s="18" t="n">
        <v>0</v>
      </c>
    </row>
    <row r="24">
      <c r="A24" s="17" t="inlineStr">
        <is>
          <t>triblock-64-test</t>
        </is>
      </c>
      <c r="B24" s="9" t="n">
        <v>1010</v>
      </c>
      <c r="C24" s="9" t="n">
        <v>0</v>
      </c>
      <c r="D24" s="10" t="n">
        <v>14</v>
      </c>
      <c r="E24" s="9" t="n">
        <v>256</v>
      </c>
      <c r="F24" s="9" t="n">
        <v>16</v>
      </c>
      <c r="G24" s="9" t="n">
        <v>16</v>
      </c>
      <c r="H24" s="9" t="n">
        <v>1920</v>
      </c>
      <c r="I24" s="9" t="n">
        <v>30720</v>
      </c>
      <c r="J24" s="9" t="n">
        <v>2983</v>
      </c>
      <c r="K24" s="9" t="n">
        <v>2765</v>
      </c>
      <c r="L24" s="11">
        <f>IFERROR(K24/J24,"")</f>
        <v/>
      </c>
      <c r="M24" s="18" t="n">
        <v>2.95</v>
      </c>
      <c r="N24" s="18" t="n">
        <v>2.74</v>
      </c>
      <c r="O24" s="13" t="n">
        <v>0.00154</v>
      </c>
      <c r="P24" s="13" t="n">
        <v>9.000000000000001e-05</v>
      </c>
      <c r="Q24" s="11">
        <f>IFERROR(P24/O24,"")</f>
        <v/>
      </c>
      <c r="R24" s="9" t="n">
        <v>697</v>
      </c>
      <c r="S24" s="9" t="n">
        <v>2225</v>
      </c>
      <c r="T24" s="12">
        <f>IFERROR(R24/H24,"")</f>
        <v/>
      </c>
      <c r="U24" s="12">
        <f>IFERROR(S24/I24,"")</f>
        <v/>
      </c>
      <c r="V24" s="18" t="n">
        <v>5.97</v>
      </c>
      <c r="W24" s="18" t="n">
        <v>5.55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9" t="inlineStr">
        <is>
          <t>What is in this workbook</t>
        </is>
      </c>
    </row>
    <row r="2" ht="52" customHeight="1">
      <c r="A2" s="20" t="inlineStr">
        <is>
          <t>Scope</t>
        </is>
      </c>
      <c r="B2" s="21" t="inlineStr">
        <is>
          <t>Every monoblock / triblock-32 / triblock-64 / tetrablock run under simulations/ that has analysis results (24 runs). Built from the analysis output already on disk — simulations/&lt;run&gt;/analysis/crosslink_contacts_K.txt — plus each run's own event log (runtime/crosslink_events.csv) and runtime/metadata.csv. Nothing was re-simulated.</t>
        </is>
      </c>
    </row>
    <row r="3" ht="52" customHeight="1">
      <c r="A3" s="20" t="inlineStr">
        <is>
          <t>Frames</t>
        </is>
      </c>
      <c r="B3" s="21" t="inlineStr">
        <is>
          <t>Saved trajectory frames in the .dcd, as the contact analysis counted them ('frames analysed: N/N'). The batch planned 1010 frames of 7000 steps (70 ns); a run that was killed on walltime has fewer — three of the crosslinking runs did. 'Saved time (ns)' is what those frames are worth: frames x steps/frame x the 0.01 ps CALVADOS timestep, not the 70.7 ns the batch asked for.</t>
        </is>
      </c>
    </row>
    <row r="4">
      <c r="A4" s="19" t="inlineStr">
        <is>
          <t>Contacts vs. bonds — they answer different questions</t>
        </is>
      </c>
    </row>
    <row r="5" ht="52" customHeight="1">
      <c r="A5" s="20" t="inlineStr">
        <is>
          <t>Contact</t>
        </is>
      </c>
      <c r="B5" s="21" t="inlineStr">
        <is>
          <t>Two lysine beads (LYS CA, anchors excluded) within 14 Å of each other in a saved frame, minimum-image so a pair meeting across a periodic edge still counts. Intra-chain pairs closer than 4 residues along the backbone are dropped. A contact is the OPPORTUNITY to react and exists even with crosslinking switched off.</t>
        </is>
      </c>
    </row>
    <row r="6" ht="26" customHeight="1">
      <c r="A6" s="20" t="inlineStr">
        <is>
          <t>intra / inter (contacts)</t>
        </is>
      </c>
      <c r="B6" s="21" t="inlineStr">
        <is>
          <t>intra = the two lysines are on the same polymer (a loop); inter = on two different polymers (a bridge). 'inter / intra' is the raw pair-frame hit ratio.</t>
        </is>
      </c>
    </row>
    <row r="7" ht="65" customHeight="1">
      <c r="A7" s="20" t="inlineStr">
        <is>
          <t>Careful: raw hits are confounded</t>
        </is>
      </c>
      <c r="B7" s="21" t="inlineStr">
        <is>
          <t>There are ~16x more inter-chain pairs than intra-chain ones (e.g. 30,720 vs 1,920 at 16 chains x 16 lysines), so inter wins the raw count even when each individual inter pair is far less likely to meet. P(pair in contact) = hits / (pairs x frames) is the fair per-pair comparison; 'P inter / P intra' below 1 means an intra-chain pair is the more likely one. Both are here because the raw share is what a bulk experiment integrates.</t>
        </is>
      </c>
    </row>
    <row r="8" ht="39" customHeight="1">
      <c r="A8" s="20" t="inlineStr">
        <is>
          <t>Bond</t>
        </is>
      </c>
      <c r="B8" s="21" t="inlineStr">
        <is>
          <t>A crosslink the run's reactor actually formed and never released, from runtime/crosslink_events.csv (kind = intra / inter). Only a run with crosslinking switched on has any; the -noxl runs are blank/zero by construction.</t>
        </is>
      </c>
    </row>
    <row r="9" ht="39" customHeight="1">
      <c r="A9" s="20" t="inlineStr">
        <is>
          <t>K–surface bonds</t>
        </is>
      </c>
      <c r="B9" s="21" t="inlineStr">
        <is>
          <t>Lysines tethered to the ground (kind = surface). 'at t=0' are the ones the free / preattached construction starts with, 'formed in run' the ones it made. Brush-mode runs have none: there the chain is held by a zero-mass anchor bead, not by a lysine.</t>
        </is>
      </c>
    </row>
    <row r="10">
      <c r="A10" s="19" t="inlineStr">
        <is>
          <t>Data quality — read before using any of this</t>
        </is>
      </c>
    </row>
    <row r="11" ht="104" customHeight="1">
      <c r="A11" s="20" t="inlineStr">
        <is>
          <t>BUG-XL-7: diverged, do not use</t>
        </is>
      </c>
      <c r="B11" s="21" t="inlineStr">
        <is>
          <t>All 12 crosslinking runs of batch 265624-265643 (every *-brush-xl, *-free-xl, *-pre-xl row). tools/crosslink.py never called setUsesPeriodicBoundaryConditions(True) on the crosslink force, so the first bond formed across a periodic boundary was evaluated one box length away from r0 = 0.6 nm; the runs blew up to coordinates of ~1e13 nm within two reaction checks of crosslink_start_step (1e6). 5 crashed, 6 hit the 2 h walltime, and metadata.csv still says 'completed'. The bond counts are the reactor's own log and are internally consistent, but the trajectory is not physical — so every CONTACT number on those rows is meaningless, and the bond counts describe a simulation of nothing real. Fixed on branch robust-audit; the reactive batch has to be re-run.</t>
        </is>
      </c>
    </row>
    <row r="12" ht="52" customHeight="1">
      <c r="A12" s="20" t="inlineStr">
        <is>
          <t>OK — but 500 Å box</t>
        </is>
      </c>
      <c r="B12" s="21" t="inlineStr">
        <is>
          <t>monoblock-test, tetrablock, triblock-32-test, triblock-64-test. Usable, but the box was too short: the box is periodic in z and the tallest beads sat within the 4 nm nonbonded cutoff of the top, i.e. next to the periodic image of the grafted layer. Contact counts between lysines are the least affected part; top-of-brush numbers are not trustworthy. The later batch uses 85-120 nm boxes.</t>
        </is>
      </c>
    </row>
    <row r="13" ht="26" customHeight="1">
      <c r="A13" s="20" t="inlineStr">
        <is>
          <t>OK</t>
        </is>
      </c>
      <c r="B13" s="21" t="inlineStr">
        <is>
          <t>The 8 non-crosslinking runs of the batch (*-free-noxl, *-pre-noxl): they completed in 12-16 min, never touched the broken force, and have 309-863 Å of headroom above the brush. These are the rows to trust.</t>
        </is>
      </c>
    </row>
    <row r="14" ht="26" customHeight="1">
      <c r="A14" s="20" t="inlineStr">
        <is>
          <t>not run — no trajectory</t>
        </is>
      </c>
      <c r="B14" s="21" t="inlineStr">
        <is>
          <t>monoblock-free-xl: prepared but no runtime/top.pdb or .dcd on this machine, so there is nothing to report for it.</t>
        </is>
      </c>
    </row>
    <row r="15" ht="26" customHeight="1">
      <c r="A15" s="20" t="inlineStr">
        <is>
          <t>Equilibration</t>
        </is>
      </c>
      <c r="B15" s="21" t="inlineStr">
        <is>
          <t>Even the good runs are only ~10-30 independent samples of the slowest observable at 70 ns (notes_titus, section 4), against a threshold of 50 for a usable average. Treat all of this as provisional.</t>
        </is>
      </c>
    </row>
    <row r="16">
      <c r="A16" s="19" t="inlineStr">
        <is>
          <t>Reproducing these numbers</t>
        </is>
      </c>
    </row>
    <row r="17" ht="39" customHeight="1">
      <c r="A17" s="20" t="inlineStr">
        <is>
          <t>In the notebook</t>
        </is>
      </c>
      <c r="B17" s="21" t="inlineStr">
        <is>
          <t>analyze.ipynb, Analyze section: set ANALYZE to 'block-runs.csv' (or a name / pattern / list), run the section once, then its last cell re-runs every analysis cell for each run. The contact numbers come from the 'Crosslinking contacts' cell, the bond numbers from the 'Crosslinks actually formed' cell.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2026-09-19T12:53:00Z</dcterms:created>
  <dcterms:modified xsi:type="dcterms:W3CDTF">2026-09-19T12:53:00Z</dcterms:modified>
</cp:coreProperties>
</file>